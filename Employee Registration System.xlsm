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inaaazenan/Downloads/DEGREE SEM 6/ASSIGNMENTS/SPREADSHEET/Assignment 1/"/>
    </mc:Choice>
  </mc:AlternateContent>
  <xr:revisionPtr revIDLastSave="0" documentId="13_ncr:1_{E8A1950B-4BA9-7A40-A607-EA34266D6249}" xr6:coauthVersionLast="47" xr6:coauthVersionMax="47" xr10:uidLastSave="{00000000-0000-0000-0000-000000000000}"/>
  <bookViews>
    <workbookView xWindow="0" yWindow="500" windowWidth="28800" windowHeight="16100" activeTab="1" xr2:uid="{1C27E0FE-85DB-044C-B8E6-BADDB6DF2305}"/>
  </bookViews>
  <sheets>
    <sheet name="MAIN PAGE" sheetId="1" r:id="rId1"/>
    <sheet name="REGISTRATION FORM" sheetId="2" r:id="rId2"/>
    <sheet name="DATABASE" sheetId="3" r:id="rId3"/>
    <sheet name="Reference" sheetId="4" r:id="rId4"/>
  </sheets>
  <definedNames>
    <definedName name="Basic_Wages">'REGISTRATION FORM'!$E$31</definedName>
    <definedName name="Job_Position">'REGISTRATION FORM'!$E$29</definedName>
    <definedName name="JobPosition_1">Reference!$I$4</definedName>
    <definedName name="JobPosition_2">Reference!$I$5</definedName>
    <definedName name="JobPosition_3">Reference!$J$6</definedName>
    <definedName name="JobPosition_4">Reference!$I$7</definedName>
    <definedName name="JobPosition_5">Reference!$I$8</definedName>
    <definedName name="Marital_Status">'REGISTRATION FORM'!$E$21</definedName>
    <definedName name="MaritalStatus_1">Reference!$F$3</definedName>
    <definedName name="MaritalStatus_2">Reference!$F$4</definedName>
    <definedName name="MaritalStatus_3">Reference!$F$5</definedName>
    <definedName name="MaritalStatus_4">Reference!$F$6</definedName>
    <definedName name="MTD_Table">Reference!$R$3:$U$15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3" l="1" a="1"/>
  <c r="B7" i="3" s="1"/>
  <c r="B8" i="3" a="1"/>
  <c r="B8" i="3"/>
  <c r="B9" i="3" a="1"/>
  <c r="B9" i="3" s="1"/>
  <c r="B10" i="3" a="1"/>
  <c r="B10" i="3"/>
  <c r="B11" i="3" a="1"/>
  <c r="B11" i="3" s="1"/>
  <c r="B12" i="3" a="1"/>
  <c r="B12" i="3"/>
  <c r="B13" i="3" a="1"/>
  <c r="B13" i="3" s="1"/>
  <c r="B14" i="3" a="1"/>
  <c r="B14" i="3" s="1"/>
  <c r="B15" i="3" a="1"/>
  <c r="B15" i="3" s="1"/>
  <c r="B16" i="3" a="1"/>
  <c r="B16" i="3"/>
  <c r="B17" i="3" a="1"/>
  <c r="B17" i="3" s="1"/>
  <c r="B6" i="3" a="1"/>
  <c r="B6" i="3" s="1"/>
  <c r="E45" i="2"/>
  <c r="E42" i="2"/>
  <c r="E31" i="2"/>
  <c r="E36" i="2" s="1"/>
  <c r="E39" i="2" l="1"/>
  <c r="E37" i="2"/>
  <c r="E33" i="2" l="1"/>
  <c r="E43" i="2"/>
  <c r="E44" i="2"/>
  <c r="I9" i="4"/>
  <c r="K9" i="4"/>
  <c r="N45" i="2"/>
  <c r="N36" i="2"/>
  <c r="N33" i="2"/>
  <c r="N43" i="2"/>
  <c r="N37" i="2"/>
  <c r="N44" i="2"/>
  <c r="N39" i="2"/>
  <c r="N31" i="2"/>
  <c r="N4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<sst xmlns="http://schemas.openxmlformats.org/spreadsheetml/2006/main" count="271" uniqueCount="82">
  <si>
    <t>Age</t>
  </si>
  <si>
    <t>Race</t>
  </si>
  <si>
    <t>Marital Status</t>
  </si>
  <si>
    <t>No of Children</t>
  </si>
  <si>
    <t>Hiring Date</t>
  </si>
  <si>
    <t>Department</t>
  </si>
  <si>
    <t>Job Position</t>
  </si>
  <si>
    <t>Basic Wages</t>
  </si>
  <si>
    <t>Payroll Frequency</t>
  </si>
  <si>
    <t>EPF Contribution</t>
  </si>
  <si>
    <t>Monthly Tax Deduction (MTD/PCB)</t>
  </si>
  <si>
    <t>Allowance Entitlement</t>
  </si>
  <si>
    <t>Race List</t>
  </si>
  <si>
    <t>Malay</t>
  </si>
  <si>
    <t>Chinese</t>
  </si>
  <si>
    <t>Indian</t>
  </si>
  <si>
    <t>Others</t>
  </si>
  <si>
    <t>Operation</t>
  </si>
  <si>
    <t>Marketing</t>
  </si>
  <si>
    <t>Administration</t>
  </si>
  <si>
    <t>Married, spouse not working</t>
  </si>
  <si>
    <t>Married, spouse working</t>
  </si>
  <si>
    <t>Single</t>
  </si>
  <si>
    <t>Divorced</t>
  </si>
  <si>
    <t>:</t>
  </si>
  <si>
    <t>Job Position, Wages and Frequency</t>
  </si>
  <si>
    <t>No</t>
  </si>
  <si>
    <t>Executive</t>
  </si>
  <si>
    <t>Monthly</t>
  </si>
  <si>
    <t>Clerk</t>
  </si>
  <si>
    <t>Operator</t>
  </si>
  <si>
    <t>Weekly</t>
  </si>
  <si>
    <t>Trucker</t>
  </si>
  <si>
    <t>Manager</t>
  </si>
  <si>
    <t>EPF Contribution Rate</t>
  </si>
  <si>
    <t>Employee EPF Rate</t>
  </si>
  <si>
    <t>Employer EPF Rate</t>
  </si>
  <si>
    <t>Exceeding RM5,000</t>
  </si>
  <si>
    <t>Below or RM5,000</t>
  </si>
  <si>
    <t>MTD/PCB Deduction Rate</t>
  </si>
  <si>
    <t>Rate</t>
  </si>
  <si>
    <t>Below RM2,000</t>
  </si>
  <si>
    <t>Nil</t>
  </si>
  <si>
    <t>RM2,000 to RM3,000</t>
  </si>
  <si>
    <t>Exceeding  RM3,000</t>
  </si>
  <si>
    <t>Allowance Entitlement / month</t>
  </si>
  <si>
    <t>Phone</t>
  </si>
  <si>
    <t>Petrol</t>
  </si>
  <si>
    <t xml:space="preserve">Meal </t>
  </si>
  <si>
    <t>Entertainment</t>
  </si>
  <si>
    <t>Meal</t>
  </si>
  <si>
    <t>Name</t>
  </si>
  <si>
    <t>Employee EPF</t>
  </si>
  <si>
    <t>Employer EPF</t>
  </si>
  <si>
    <t>RM 300</t>
  </si>
  <si>
    <t>RM 500</t>
  </si>
  <si>
    <t>RM 150</t>
  </si>
  <si>
    <t>-</t>
  </si>
  <si>
    <t>Marimuthu A/L Ravi</t>
  </si>
  <si>
    <t>Soo Yi Ni</t>
  </si>
  <si>
    <t>Priyanka A/P Muthu</t>
  </si>
  <si>
    <t>Amira Binti Roslan</t>
  </si>
  <si>
    <t>Amran Bin Ahmad</t>
  </si>
  <si>
    <t>Nora Binti Amirul</t>
  </si>
  <si>
    <t>8%, RM 192</t>
  </si>
  <si>
    <t>13%, RM 312</t>
  </si>
  <si>
    <t>5%, RM 120</t>
  </si>
  <si>
    <t>Sofia Binti Yahaya</t>
  </si>
  <si>
    <t>11%, RM 561</t>
  </si>
  <si>
    <t>12%, RM 612</t>
  </si>
  <si>
    <t>8%, RM 408</t>
  </si>
  <si>
    <t>Lee Zi Ji</t>
  </si>
  <si>
    <t>5%, RM 255</t>
  </si>
  <si>
    <t>8%, RM 96</t>
  </si>
  <si>
    <t>13%, RM 156</t>
  </si>
  <si>
    <t>8%, RM 144</t>
  </si>
  <si>
    <t>13%, RM 234</t>
  </si>
  <si>
    <t>Soraya Binti Saad</t>
  </si>
  <si>
    <t>Christina Loh</t>
  </si>
  <si>
    <t>3%, RM 72</t>
  </si>
  <si>
    <t xml:space="preserve">Rahim Bin </t>
  </si>
  <si>
    <t>RM 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</si>
</sst>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RM&quot;#,##0_);[Red]\(&quot;RM&quot;#,##0\)"/>
    <numFmt numFmtId="44" formatCode="_(&quot;RM&quot;* #,##0.00_);_(&quot;RM&quot;* \(#,##0.00\);_(&quot;RM&quot;* &quot;-&quot;??_);_(@_)"/>
    <numFmt numFmtId="164" formatCode="_-[$RM-4409]* #,##0.00_-;\-[$RM-4409]* #,##0.00_-;_-[$RM-4409]* &quot;-&quot;??_-;_-@_-"/>
    <numFmt numFmtId="165" formatCode="_(&quot;RM&quot;* #,##0_);_(&quot;RM&quot;* \(#,##0\);_(&quot;RM&quot;* &quot;-&quot;??_);_(@_)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mbria"/>
      <family val="1"/>
    </font>
    <font>
      <sz val="11"/>
      <color theme="1"/>
      <name val="Cambria"/>
      <family val="1"/>
    </font>
    <font>
      <sz val="11"/>
      <color rgb="FF000000"/>
      <name val="Times New Roman"/>
      <family val="1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8B19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DD9C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4" fillId="3" borderId="1" xfId="0" applyFont="1" applyFill="1" applyBorder="1" applyAlignment="1">
      <alignment horizontal="justify" vertical="center" wrapText="1"/>
    </xf>
    <xf numFmtId="0" fontId="5" fillId="0" borderId="2" xfId="0" applyFont="1" applyBorder="1" applyAlignment="1">
      <alignment horizontal="justify" vertical="center" wrapText="1"/>
    </xf>
    <xf numFmtId="0" fontId="5" fillId="0" borderId="2" xfId="0" applyFont="1" applyBorder="1" applyAlignment="1">
      <alignment vertical="center" wrapText="1"/>
    </xf>
    <xf numFmtId="0" fontId="0" fillId="0" borderId="7" xfId="0" applyBorder="1"/>
    <xf numFmtId="0" fontId="6" fillId="5" borderId="10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6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5" fillId="0" borderId="11" xfId="0" applyFont="1" applyBorder="1" applyAlignment="1">
      <alignment vertical="center"/>
    </xf>
    <xf numFmtId="6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5" fillId="0" borderId="12" xfId="0" applyFont="1" applyBorder="1" applyAlignment="1">
      <alignment horizontal="justify" vertical="center"/>
    </xf>
    <xf numFmtId="6" fontId="6" fillId="0" borderId="12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5" borderId="2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6" fontId="6" fillId="0" borderId="1" xfId="0" applyNumberFormat="1" applyFont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0" fillId="0" borderId="0" xfId="0" applyBorder="1"/>
    <xf numFmtId="0" fontId="4" fillId="5" borderId="1" xfId="0" applyFont="1" applyFill="1" applyBorder="1" applyAlignment="1">
      <alignment vertical="center"/>
    </xf>
    <xf numFmtId="0" fontId="0" fillId="2" borderId="0" xfId="0" applyFill="1" applyAlignment="1">
      <alignment horizontal="center"/>
    </xf>
    <xf numFmtId="0" fontId="4" fillId="5" borderId="10" xfId="0" applyFont="1" applyFill="1" applyBorder="1" applyAlignment="1">
      <alignment vertical="center"/>
    </xf>
    <xf numFmtId="0" fontId="6" fillId="5" borderId="10" xfId="0" applyFont="1" applyFill="1" applyBorder="1" applyAlignment="1">
      <alignment horizontal="center" vertical="center"/>
    </xf>
    <xf numFmtId="9" fontId="6" fillId="0" borderId="10" xfId="0" applyNumberFormat="1" applyFont="1" applyBorder="1" applyAlignment="1">
      <alignment horizontal="center" vertical="center"/>
    </xf>
    <xf numFmtId="9" fontId="6" fillId="0" borderId="10" xfId="0" applyNumberFormat="1" applyFont="1" applyBorder="1" applyAlignment="1">
      <alignment horizontal="center" vertical="center" wrapText="1"/>
    </xf>
    <xf numFmtId="0" fontId="5" fillId="0" borderId="10" xfId="0" applyFont="1" applyBorder="1" applyAlignment="1">
      <alignment horizontal="justify" vertical="center"/>
    </xf>
    <xf numFmtId="6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6" fontId="6" fillId="0" borderId="11" xfId="0" applyNumberFormat="1" applyFont="1" applyBorder="1" applyAlignment="1">
      <alignment horizontal="center" vertical="center" wrapText="1"/>
    </xf>
    <xf numFmtId="6" fontId="6" fillId="0" borderId="12" xfId="0" applyNumberFormat="1" applyFont="1" applyBorder="1" applyAlignment="1">
      <alignment horizontal="center" vertical="center" wrapText="1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Protection="1"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14" fontId="0" fillId="0" borderId="3" xfId="0" applyNumberFormat="1" applyFill="1" applyBorder="1" applyAlignment="1" applyProtection="1">
      <alignment horizontal="center"/>
      <protection locked="0"/>
    </xf>
    <xf numFmtId="44" fontId="0" fillId="0" borderId="3" xfId="1" applyFont="1" applyFill="1" applyBorder="1" applyAlignment="1" applyProtection="1">
      <alignment horizontal="center"/>
    </xf>
    <xf numFmtId="0" fontId="0" fillId="0" borderId="0" xfId="0" applyProtection="1"/>
    <xf numFmtId="0" fontId="0" fillId="2" borderId="0" xfId="0" applyFont="1" applyFill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2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5" xfId="0" applyFont="1" applyBorder="1" applyAlignment="1">
      <alignment vertical="center" wrapText="1"/>
    </xf>
    <xf numFmtId="0" fontId="5" fillId="0" borderId="8" xfId="0" applyFont="1" applyBorder="1" applyAlignment="1">
      <alignment horizontal="justify" vertical="center"/>
    </xf>
    <xf numFmtId="6" fontId="6" fillId="0" borderId="8" xfId="0" applyNumberFormat="1" applyFont="1" applyBorder="1" applyAlignment="1">
      <alignment horizontal="center" vertical="center"/>
    </xf>
    <xf numFmtId="0" fontId="6" fillId="0" borderId="7" xfId="0" applyFont="1" applyFill="1" applyBorder="1" applyAlignment="1">
      <alignment vertical="center" wrapText="1"/>
    </xf>
    <xf numFmtId="0" fontId="5" fillId="0" borderId="7" xfId="0" applyFont="1" applyFill="1" applyBorder="1" applyAlignment="1">
      <alignment vertical="center"/>
    </xf>
    <xf numFmtId="14" fontId="3" fillId="2" borderId="0" xfId="0" applyNumberFormat="1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0" borderId="3" xfId="0" applyFont="1" applyFill="1" applyBorder="1" applyAlignment="1" applyProtection="1">
      <alignment horizontal="center"/>
    </xf>
    <xf numFmtId="165" fontId="1" fillId="0" borderId="4" xfId="1" applyNumberFormat="1" applyFont="1" applyFill="1" applyBorder="1" applyAlignment="1" applyProtection="1">
      <alignment horizontal="center"/>
    </xf>
    <xf numFmtId="165" fontId="1" fillId="0" borderId="3" xfId="1" applyNumberFormat="1" applyFont="1" applyFill="1" applyBorder="1" applyAlignment="1" applyProtection="1">
      <alignment horizontal="center"/>
    </xf>
    <xf numFmtId="165" fontId="1" fillId="2" borderId="0" xfId="0" applyNumberFormat="1" applyFont="1" applyFill="1" applyAlignment="1">
      <alignment horizontal="center"/>
    </xf>
    <xf numFmtId="164" fontId="0" fillId="0" borderId="3" xfId="1" applyNumberFormat="1" applyFont="1" applyFill="1" applyBorder="1" applyAlignment="1" applyProtection="1">
      <alignment horizontal="center"/>
    </xf>
    <xf numFmtId="0" fontId="0" fillId="0" borderId="0" xfId="1" applyNumberFormat="1" applyFont="1" applyAlignment="1">
      <alignment horizontal="center"/>
    </xf>
    <xf numFmtId="165" fontId="0" fillId="0" borderId="0" xfId="1" applyNumberFormat="1" applyFont="1"/>
    <xf numFmtId="165" fontId="3" fillId="2" borderId="0" xfId="1" applyNumberFormat="1" applyFont="1" applyFill="1" applyAlignment="1" applyProtection="1">
      <alignment horizontal="center"/>
      <protection locked="0"/>
    </xf>
    <xf numFmtId="0" fontId="3" fillId="2" borderId="0" xfId="1" applyNumberFormat="1" applyFont="1" applyFill="1" applyAlignment="1" applyProtection="1">
      <alignment horizontal="center"/>
      <protection locked="0"/>
    </xf>
    <xf numFmtId="0" fontId="0" fillId="2" borderId="0" xfId="1" applyNumberFormat="1" applyFont="1" applyFill="1" applyAlignment="1" applyProtection="1">
      <alignment horizontal="center"/>
      <protection locked="0"/>
    </xf>
    <xf numFmtId="0" fontId="0" fillId="0" borderId="0" xfId="1" applyNumberFormat="1" applyFont="1"/>
    <xf numFmtId="1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5" formatCode="_(&quot;RM&quot;* #,##0_);_(&quot;RM&quot;* \(#,##0\);_(&quot;RM&quot;* &quot;-&quot;??_);_(@_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D8B19C"/>
        </patternFill>
      </fill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8B19C"/>
      <color rgb="FF945200"/>
      <color rgb="FF694F00"/>
      <color rgb="FFC29F88"/>
      <color rgb="FF574100"/>
      <color rgb="FFCBA792"/>
      <color rgb="FFBC6701"/>
      <color rgb="FFD77601"/>
      <color rgb="FFFACBB6"/>
      <color rgb="FFC294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5" fmlaLink="$E$23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4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25399</xdr:colOff>
      <xdr:row>1</xdr:row>
      <xdr:rowOff>0</xdr:rowOff>
    </xdr:from>
    <xdr:to>
      <xdr:col>9</xdr:col>
      <xdr:colOff>190846</xdr:colOff>
      <xdr:row>23</xdr:row>
      <xdr:rowOff>50800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50899" y="203200"/>
          <a:ext cx="6769447" cy="4521200"/>
          <a:chOff x="2044699" y="1143000"/>
          <a:chExt cx="6769447" cy="4521200"/>
        </a:xfrm>
      </xdr:grpSpPr>
      <xdr:pic>
        <xdr:nvPicPr>
          <xdr:cNvPr id="7" name="Picture 6" descr="Cookie Images | Free Photos, PNG Stickers, Wallpapers &amp; Backgrounds -  rawpixe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044699" y="1143000"/>
            <a:ext cx="6769447" cy="4521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695700" y="1397000"/>
            <a:ext cx="3568700" cy="19137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n-GB" sz="6000" b="1">
                <a:solidFill>
                  <a:srgbClr val="574100"/>
                </a:solidFill>
                <a:latin typeface="ACADEMY ENGRAVED LET PLAIN:1.0" panose="02000000000000000000" pitchFamily="2" charset="0"/>
              </a:rPr>
              <a:t>RARA Industries</a:t>
            </a:r>
          </a:p>
        </xdr:txBody>
      </xdr:sp>
      <xdr:sp macro="[0]!GoToForm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949700" y="3581400"/>
            <a:ext cx="3060700" cy="685800"/>
          </a:xfrm>
          <a:prstGeom prst="roundRect">
            <a:avLst/>
          </a:prstGeom>
          <a:solidFill>
            <a:srgbClr val="D8B19C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MY" sz="1800" b="1" i="0" u="none" strike="noStrike">
                <a:solidFill>
                  <a:srgbClr val="5741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Employee</a:t>
            </a:r>
            <a:r>
              <a:rPr lang="en-MY" sz="1800" b="1" i="0" u="none" strike="noStrike" baseline="0">
                <a:solidFill>
                  <a:srgbClr val="5741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Registration</a:t>
            </a:r>
            <a:r>
              <a:rPr lang="en-MY" sz="1800" b="1" i="0" u="none" strike="noStrike">
                <a:solidFill>
                  <a:srgbClr val="5741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Form</a:t>
            </a:r>
            <a:r>
              <a:rPr lang="en-MY" sz="1800" b="1" i="0">
                <a:solidFill>
                  <a:srgbClr val="574100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en-GB" sz="18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GoToDB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937000" y="4406900"/>
            <a:ext cx="3060700" cy="685800"/>
          </a:xfrm>
          <a:prstGeom prst="roundRect">
            <a:avLst/>
          </a:prstGeom>
          <a:solidFill>
            <a:srgbClr val="D8B19C"/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MY" sz="1800" b="1" i="0" u="none" strike="noStrike">
                <a:solidFill>
                  <a:srgbClr val="5741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Employees</a:t>
            </a:r>
            <a:r>
              <a:rPr lang="en-MY" sz="1800" b="1" i="0" u="none" strike="noStrike" baseline="0">
                <a:solidFill>
                  <a:srgbClr val="5741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Database</a:t>
            </a:r>
            <a:endParaRPr lang="en-GB" sz="18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1574800</xdr:colOff>
          <xdr:row>21</xdr:row>
          <xdr:rowOff>203200</xdr:rowOff>
        </xdr:from>
        <xdr:to>
          <xdr:col>4</xdr:col>
          <xdr:colOff>1866900</xdr:colOff>
          <xdr:row>23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</xdr:col>
      <xdr:colOff>6239</xdr:colOff>
      <xdr:row>3</xdr:row>
      <xdr:rowOff>110452</xdr:rowOff>
    </xdr:from>
    <xdr:ext cx="7387502" cy="100303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31739" y="720052"/>
          <a:ext cx="7387502" cy="1003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6000" b="1">
              <a:solidFill>
                <a:srgbClr val="574100"/>
              </a:solidFill>
              <a:latin typeface="ACADEMY ENGRAVED LET PLAIN:1.0" panose="02000000000000000000" pitchFamily="2" charset="0"/>
            </a:rPr>
            <a:t>RARA Industries</a:t>
          </a:r>
        </a:p>
      </xdr:txBody>
    </xdr:sp>
    <xdr:clientData/>
  </xdr:oneCellAnchor>
  <xdr:oneCellAnchor>
    <xdr:from>
      <xdr:col>0</xdr:col>
      <xdr:colOff>796786</xdr:colOff>
      <xdr:row>9</xdr:row>
      <xdr:rowOff>39618</xdr:rowOff>
    </xdr:from>
    <xdr:ext cx="7438922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96786" y="1868418"/>
          <a:ext cx="743892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2000" b="1">
              <a:solidFill>
                <a:srgbClr val="574100"/>
              </a:solidFill>
              <a:latin typeface="+mn-lt"/>
              <a:cs typeface="Calibri" panose="020F0502020204030204" pitchFamily="34" charset="0"/>
            </a:rPr>
            <a:t>Employee</a:t>
          </a:r>
          <a:r>
            <a:rPr lang="en-GB" sz="2000" b="1" baseline="0">
              <a:solidFill>
                <a:srgbClr val="574100"/>
              </a:solidFill>
              <a:latin typeface="+mn-lt"/>
              <a:cs typeface="Calibri" panose="020F0502020204030204" pitchFamily="34" charset="0"/>
            </a:rPr>
            <a:t> Registration Form</a:t>
          </a:r>
          <a:endParaRPr lang="en-GB" sz="2000" b="1">
            <a:solidFill>
              <a:srgbClr val="574100"/>
            </a:solidFill>
            <a:latin typeface="+mn-lt"/>
            <a:cs typeface="Calibri" panose="020F0502020204030204" pitchFamily="34" charset="0"/>
          </a:endParaRPr>
        </a:p>
      </xdr:txBody>
    </xdr:sp>
    <xdr:clientData/>
  </xdr:oneCellAnchor>
  <xdr:twoCellAnchor>
    <xdr:from>
      <xdr:col>4</xdr:col>
      <xdr:colOff>103061</xdr:colOff>
      <xdr:row>49</xdr:row>
      <xdr:rowOff>1133365</xdr:rowOff>
    </xdr:from>
    <xdr:to>
      <xdr:col>4</xdr:col>
      <xdr:colOff>753368</xdr:colOff>
      <xdr:row>49</xdr:row>
      <xdr:rowOff>1669431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5081461" y="11471165"/>
          <a:ext cx="650307" cy="536066"/>
          <a:chOff x="2027877" y="10456906"/>
          <a:chExt cx="649707" cy="536066"/>
        </a:xfrm>
      </xdr:grpSpPr>
      <xdr:sp macro="[0]!GoToDB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027877" y="10456906"/>
            <a:ext cx="649707" cy="536066"/>
          </a:xfrm>
          <a:prstGeom prst="roundRect">
            <a:avLst/>
          </a:prstGeom>
          <a:solidFill>
            <a:schemeClr val="bg1">
              <a:alpha val="87059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GoToDB">
        <xdr:nvPicPr>
          <xdr:cNvPr id="11" name="Graphic 10" descr="Database with solid fill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124642" y="10511764"/>
            <a:ext cx="456178" cy="44006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1917743</xdr:colOff>
      <xdr:row>47</xdr:row>
      <xdr:rowOff>52842</xdr:rowOff>
    </xdr:from>
    <xdr:to>
      <xdr:col>4</xdr:col>
      <xdr:colOff>451555</xdr:colOff>
      <xdr:row>49</xdr:row>
      <xdr:rowOff>51676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4025943" y="9984242"/>
          <a:ext cx="1404012" cy="405234"/>
          <a:chOff x="5120532" y="9903298"/>
          <a:chExt cx="1242979" cy="405320"/>
        </a:xfrm>
      </xdr:grpSpPr>
      <xdr:sp macro="[0]!SaveData" textlink="">
        <xdr:nvSpPr>
          <xdr:cNvPr id="22" name="Rounded 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5120532" y="9903300"/>
            <a:ext cx="1242979" cy="405318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MY" sz="1800" b="1" i="0" u="none" strike="noStrike">
                <a:solidFill>
                  <a:srgbClr val="9452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Save</a:t>
            </a:r>
            <a:endParaRPr lang="en-GB" sz="1800" b="1" i="0">
              <a:solidFill>
                <a:srgbClr val="9452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Savetry">
        <xdr:nvPicPr>
          <xdr:cNvPr id="23" name="Graphic 22" descr="Disk with solid fill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201598" y="9903298"/>
            <a:ext cx="391808" cy="39180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1613175</xdr:colOff>
      <xdr:row>49</xdr:row>
      <xdr:rowOff>1117057</xdr:rowOff>
    </xdr:from>
    <xdr:to>
      <xdr:col>2</xdr:col>
      <xdr:colOff>2243667</xdr:colOff>
      <xdr:row>49</xdr:row>
      <xdr:rowOff>1665239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3721375" y="11454857"/>
          <a:ext cx="630492" cy="548182"/>
          <a:chOff x="2037508" y="9764432"/>
          <a:chExt cx="655934" cy="547014"/>
        </a:xfrm>
      </xdr:grpSpPr>
      <xdr:sp macro="[0]!GoToHome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2037508" y="9764432"/>
            <a:ext cx="655934" cy="547014"/>
          </a:xfrm>
          <a:prstGeom prst="roundRect">
            <a:avLst/>
          </a:prstGeom>
          <a:solidFill>
            <a:schemeClr val="bg1">
              <a:alpha val="87059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GoToHome">
        <xdr:nvPicPr>
          <xdr:cNvPr id="14" name="Graphic 13" descr="Home with solid fill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9770" y="9811352"/>
            <a:ext cx="451761" cy="44156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1908136</xdr:colOff>
      <xdr:row>49</xdr:row>
      <xdr:rowOff>297903</xdr:rowOff>
    </xdr:from>
    <xdr:to>
      <xdr:col>4</xdr:col>
      <xdr:colOff>462531</xdr:colOff>
      <xdr:row>49</xdr:row>
      <xdr:rowOff>704389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4016336" y="10635703"/>
          <a:ext cx="1424595" cy="406486"/>
          <a:chOff x="10238395" y="6726298"/>
          <a:chExt cx="1348395" cy="406486"/>
        </a:xfrm>
      </xdr:grpSpPr>
      <xdr:sp macro="[0]!ClearAll" textlink="">
        <xdr:nvSpPr>
          <xdr:cNvPr id="32" name="Rounded Rectangle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10238395" y="6726298"/>
            <a:ext cx="1348395" cy="406486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MY" sz="1800" b="1" i="0" u="none" strike="noStrike">
                <a:solidFill>
                  <a:srgbClr val="9452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Clear</a:t>
            </a:r>
            <a:r>
              <a:rPr lang="en-MY" sz="1800" b="1" i="0" u="none" strike="noStrike" baseline="0">
                <a:solidFill>
                  <a:srgbClr val="9452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All</a:t>
            </a:r>
            <a:endParaRPr lang="en-GB" sz="1800" b="1" i="0">
              <a:solidFill>
                <a:srgbClr val="9452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>
        <xdr:nvPicPr>
          <xdr:cNvPr id="28" name="Graphic 27" descr="Close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85431" y="6741974"/>
            <a:ext cx="360618" cy="36061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0</xdr:row>
      <xdr:rowOff>76200</xdr:rowOff>
    </xdr:from>
    <xdr:to>
      <xdr:col>1</xdr:col>
      <xdr:colOff>622300</xdr:colOff>
      <xdr:row>3</xdr:row>
      <xdr:rowOff>13614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381000" y="76200"/>
          <a:ext cx="596900" cy="547014"/>
          <a:chOff x="5392871" y="0"/>
          <a:chExt cx="655934" cy="548625"/>
        </a:xfrm>
      </xdr:grpSpPr>
      <xdr:sp macro="[0]!GoToHome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392871" y="0"/>
            <a:ext cx="655934" cy="548625"/>
          </a:xfrm>
          <a:prstGeom prst="roundRect">
            <a:avLst/>
          </a:prstGeom>
          <a:solidFill>
            <a:srgbClr val="D8B19C">
              <a:alpha val="87059"/>
            </a:srgb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GoToHome">
        <xdr:nvPicPr>
          <xdr:cNvPr id="4" name="Graphic 3" descr="Home with solid fill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495133" y="47058"/>
            <a:ext cx="451761" cy="44286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317500</xdr:colOff>
      <xdr:row>0</xdr:row>
      <xdr:rowOff>63500</xdr:rowOff>
    </xdr:from>
    <xdr:to>
      <xdr:col>2</xdr:col>
      <xdr:colOff>927100</xdr:colOff>
      <xdr:row>3</xdr:row>
      <xdr:rowOff>914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333500" y="63500"/>
          <a:ext cx="609600" cy="547014"/>
          <a:chOff x="2222500" y="1752600"/>
          <a:chExt cx="655934" cy="547014"/>
        </a:xfrm>
      </xdr:grpSpPr>
      <xdr:sp macro="[0]!GoToForm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222500" y="1752600"/>
            <a:ext cx="655934" cy="547014"/>
          </a:xfrm>
          <a:prstGeom prst="roundRect">
            <a:avLst/>
          </a:prstGeom>
          <a:solidFill>
            <a:srgbClr val="D8B19C">
              <a:alpha val="87059"/>
            </a:srgb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14100000"/>
            </a:lightRig>
          </a:scene3d>
          <a:sp3d prstMaterial="softEdge">
            <a:bevelT w="127000" prst="artDeco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1" i="0">
              <a:solidFill>
                <a:srgbClr val="574100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pic macro="[0]!GoToForm">
        <xdr:nvPicPr>
          <xdr:cNvPr id="11" name="Graphic 10" descr="Document with solid fill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62200" y="1854200"/>
            <a:ext cx="381000" cy="381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232D6E-2342-9C4D-9FF8-541AFAF4BB27}" name="Table8" displayName="Table8" ref="B5:S17" totalsRowShown="0" headerRowDxfId="16">
  <autoFilter ref="B5:S17" xr:uid="{72232D6E-2342-9C4D-9FF8-541AFAF4BB27}"/>
  <sortState xmlns:xlrd2="http://schemas.microsoft.com/office/spreadsheetml/2017/richdata2" ref="B6:S17">
    <sortCondition descending="1" ref="B5:B17"/>
  </sortState>
  <tableColumns count="18">
    <tableColumn id="18" xr3:uid="{23201076-821F-6746-B57A-3D441178FEC1}" name="No">
      <calculatedColumnFormula array="1">ROW(1:1)</calculatedColumnFormula>
    </tableColumn>
    <tableColumn id="1" xr3:uid="{2F019955-A30F-BB40-85EE-6E4A180D5975}" name="Name"/>
    <tableColumn id="2" xr3:uid="{13AFABAD-0820-BF41-BB7D-0622D024E11F}" name="Age" dataDxfId="15"/>
    <tableColumn id="3" xr3:uid="{E9406C00-A3BE-384B-8A73-EEB74C42F8E1}" name="Race" dataDxfId="14"/>
    <tableColumn id="4" xr3:uid="{BFC7C0B4-1EBB-CA49-9588-57ED0608AF70}" name="Marital Status" dataDxfId="13"/>
    <tableColumn id="5" xr3:uid="{0824B5B6-CCF3-3544-8D31-2003EE1F8DB2}" name="No of Children" dataDxfId="12"/>
    <tableColumn id="6" xr3:uid="{858FEC62-D61C-4042-9F56-DCB6601CB7E7}" name="Hiring Date" dataDxfId="11"/>
    <tableColumn id="7" xr3:uid="{6734D9BE-ECBE-3F4A-82A6-50B4422BC1C3}" name="Department" dataDxfId="10"/>
    <tableColumn id="8" xr3:uid="{98D2A5CB-3727-C748-8EBE-D0F520B4E6FC}" name="Job Position" dataDxfId="9"/>
    <tableColumn id="9" xr3:uid="{F00B5037-8163-154E-B6D0-18590E66F89B}" name="Basic Wages" dataDxfId="8" dataCellStyle="Currency"/>
    <tableColumn id="10" xr3:uid="{33CB8493-551A-C84C-BC8C-A4E7CFE4ACEC}" name="Payroll Frequency" dataDxfId="7"/>
    <tableColumn id="11" xr3:uid="{5E1E1C8D-2D0B-CB46-A895-EEAE604C1ACC}" name="Employee EPF" dataDxfId="6" dataCellStyle="Currency"/>
    <tableColumn id="12" xr3:uid="{6FB9D40C-ABD3-4F40-BEE1-4D7D87178100}" name="Employer EPF" dataDxfId="5" dataCellStyle="Currency"/>
    <tableColumn id="13" xr3:uid="{DC3F5E23-401D-E846-B52F-6E9CBF1B534B}" name="Monthly Tax Deduction (MTD/PCB)" dataDxfId="4" dataCellStyle="Currency"/>
    <tableColumn id="14" xr3:uid="{57A2ACDD-85C3-7A45-B627-0F550123F06F}" name="Phone" dataDxfId="3" dataCellStyle="Currency"/>
    <tableColumn id="15" xr3:uid="{EE8EE4DF-9455-744B-AD8C-9B8981947ACF}" name="Petrol" dataDxfId="2" dataCellStyle="Currency"/>
    <tableColumn id="16" xr3:uid="{D7958494-6F85-8E47-8800-E167021CA28D}" name="Meal" dataDxfId="1" dataCellStyle="Currency"/>
    <tableColumn id="17" xr3:uid="{E1D54124-728A-8E46-81C9-F75D3F4CA765}" name="Entertainment" dataDxfId="0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0358C-0F50-A240-8914-648FB6BAC6E9}">
  <sheetPr codeName="Sheet1"/>
  <dimension ref="A1"/>
  <sheetViews>
    <sheetView workbookViewId="0">
      <selection activeCell="L30" sqref="L30"/>
    </sheetView>
  </sheetViews>
  <sheetFormatPr baseColWidth="10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34683-5E9A-3649-859F-DFA3128E1113}">
  <sheetPr codeName="Sheet2"/>
  <dimension ref="B2:N61"/>
  <sheetViews>
    <sheetView tabSelected="1" topLeftCell="C1" zoomScaleNormal="100" workbookViewId="0">
      <selection activeCell="N19" sqref="N19"/>
    </sheetView>
  </sheetViews>
  <sheetFormatPr baseColWidth="10" defaultRowHeight="16" x14ac:dyDescent="0.2"/>
  <cols>
    <col min="1" max="1" width="10.83203125" style="39"/>
    <col min="2" max="2" width="16.83203125" style="39" customWidth="1"/>
    <col min="3" max="3" width="33.83203125" style="39" customWidth="1"/>
    <col min="4" max="4" width="3.83203125" style="39" customWidth="1"/>
    <col min="5" max="5" width="24.5" style="50" customWidth="1"/>
    <col min="6" max="6" width="20.5" style="39" customWidth="1"/>
    <col min="7" max="7" width="14.6640625" style="39" customWidth="1"/>
    <col min="8" max="8" width="7.83203125" style="39" customWidth="1"/>
    <col min="9" max="9" width="26.6640625" style="39" customWidth="1"/>
    <col min="10" max="13" width="10.83203125" style="39"/>
    <col min="14" max="14" width="10.83203125" style="39" customWidth="1"/>
    <col min="15" max="16384" width="10.83203125" style="39"/>
  </cols>
  <sheetData>
    <row r="2" spans="2:10" x14ac:dyDescent="0.2">
      <c r="B2" s="38"/>
      <c r="C2" s="38"/>
      <c r="D2" s="38"/>
      <c r="E2" s="42"/>
      <c r="F2" s="38"/>
    </row>
    <row r="3" spans="2:10" x14ac:dyDescent="0.2">
      <c r="B3" s="38"/>
      <c r="C3" s="38"/>
      <c r="D3" s="38"/>
      <c r="E3" s="42"/>
      <c r="F3" s="38"/>
    </row>
    <row r="4" spans="2:10" x14ac:dyDescent="0.2">
      <c r="B4" s="38"/>
      <c r="C4" s="38"/>
      <c r="D4" s="38"/>
      <c r="E4" s="42"/>
      <c r="F4" s="38"/>
    </row>
    <row r="5" spans="2:10" x14ac:dyDescent="0.2">
      <c r="B5" s="38"/>
      <c r="C5" s="38"/>
      <c r="D5" s="38"/>
      <c r="E5" s="42"/>
      <c r="F5" s="38"/>
      <c r="G5"/>
      <c r="H5"/>
      <c r="I5"/>
      <c r="J5"/>
    </row>
    <row r="6" spans="2:10" x14ac:dyDescent="0.2">
      <c r="B6" s="38"/>
      <c r="C6" s="38"/>
      <c r="D6" s="38"/>
      <c r="E6" s="42"/>
      <c r="F6" s="38"/>
      <c r="G6"/>
      <c r="H6"/>
      <c r="I6"/>
      <c r="J6"/>
    </row>
    <row r="7" spans="2:10" x14ac:dyDescent="0.2">
      <c r="B7" s="38"/>
      <c r="C7" s="38"/>
      <c r="D7" s="38"/>
      <c r="E7" s="42"/>
      <c r="F7" s="38"/>
      <c r="G7"/>
      <c r="H7"/>
      <c r="I7"/>
      <c r="J7"/>
    </row>
    <row r="8" spans="2:10" x14ac:dyDescent="0.2">
      <c r="B8" s="38"/>
      <c r="C8" s="38"/>
      <c r="D8" s="38"/>
      <c r="E8" s="42"/>
      <c r="F8" s="38"/>
      <c r="G8"/>
      <c r="H8"/>
      <c r="I8"/>
      <c r="J8"/>
    </row>
    <row r="9" spans="2:10" x14ac:dyDescent="0.2">
      <c r="B9" s="38"/>
      <c r="C9" s="38"/>
      <c r="D9" s="38"/>
      <c r="E9" s="42"/>
      <c r="F9" s="38"/>
      <c r="G9"/>
      <c r="H9"/>
      <c r="I9"/>
      <c r="J9"/>
    </row>
    <row r="10" spans="2:10" x14ac:dyDescent="0.2">
      <c r="B10" s="38"/>
      <c r="C10" s="38"/>
      <c r="D10" s="38"/>
      <c r="E10" s="42"/>
      <c r="F10" s="38"/>
      <c r="G10"/>
      <c r="H10"/>
      <c r="I10"/>
      <c r="J10"/>
    </row>
    <row r="11" spans="2:10" x14ac:dyDescent="0.2">
      <c r="B11" s="38"/>
      <c r="C11" s="38"/>
      <c r="D11" s="38"/>
      <c r="E11" s="42"/>
      <c r="F11" s="38"/>
      <c r="G11"/>
      <c r="H11"/>
      <c r="I11"/>
      <c r="J11"/>
    </row>
    <row r="12" spans="2:10" x14ac:dyDescent="0.2">
      <c r="B12" s="38"/>
      <c r="C12" s="38"/>
      <c r="D12" s="38"/>
      <c r="E12" s="42"/>
      <c r="F12" s="38"/>
      <c r="G12"/>
      <c r="H12"/>
      <c r="I12"/>
      <c r="J12"/>
    </row>
    <row r="13" spans="2:10" x14ac:dyDescent="0.2">
      <c r="B13" s="38"/>
      <c r="C13" s="40"/>
      <c r="D13" s="38"/>
      <c r="E13" s="42"/>
      <c r="F13" s="38"/>
      <c r="G13"/>
      <c r="H13"/>
      <c r="I13"/>
      <c r="J13"/>
    </row>
    <row r="14" spans="2:10" x14ac:dyDescent="0.2">
      <c r="B14" s="38"/>
      <c r="C14" s="38"/>
      <c r="D14" s="38"/>
      <c r="E14" s="42"/>
      <c r="F14" s="38"/>
      <c r="G14"/>
      <c r="H14"/>
      <c r="I14"/>
      <c r="J14"/>
    </row>
    <row r="15" spans="2:10" x14ac:dyDescent="0.2">
      <c r="B15" s="38"/>
      <c r="C15" s="40" t="s">
        <v>51</v>
      </c>
      <c r="D15" s="40" t="s">
        <v>24</v>
      </c>
      <c r="E15" s="41"/>
      <c r="F15" s="38"/>
      <c r="G15"/>
      <c r="H15"/>
      <c r="I15"/>
      <c r="J15"/>
    </row>
    <row r="16" spans="2:10" x14ac:dyDescent="0.2">
      <c r="B16" s="38"/>
      <c r="C16" s="40"/>
      <c r="D16" s="40"/>
      <c r="E16" s="42"/>
      <c r="F16" s="38"/>
      <c r="G16"/>
      <c r="H16"/>
      <c r="I16"/>
      <c r="J16"/>
    </row>
    <row r="17" spans="2:14" x14ac:dyDescent="0.2">
      <c r="B17" s="38"/>
      <c r="C17" s="40" t="s">
        <v>0</v>
      </c>
      <c r="D17" s="40" t="s">
        <v>24</v>
      </c>
      <c r="E17" s="41"/>
      <c r="F17" s="38"/>
      <c r="G17"/>
      <c r="H17"/>
      <c r="I17"/>
      <c r="J17"/>
    </row>
    <row r="18" spans="2:14" x14ac:dyDescent="0.2">
      <c r="B18" s="38"/>
      <c r="C18" s="40"/>
      <c r="D18" s="40"/>
      <c r="E18" s="42"/>
      <c r="F18" s="38"/>
      <c r="G18"/>
      <c r="H18"/>
      <c r="I18"/>
      <c r="J18"/>
    </row>
    <row r="19" spans="2:14" x14ac:dyDescent="0.2">
      <c r="B19" s="38"/>
      <c r="C19" s="40" t="s">
        <v>1</v>
      </c>
      <c r="D19" s="40" t="s">
        <v>24</v>
      </c>
      <c r="E19" s="41"/>
      <c r="F19" s="38"/>
      <c r="G19"/>
      <c r="H19"/>
      <c r="I19"/>
      <c r="J19"/>
    </row>
    <row r="20" spans="2:14" x14ac:dyDescent="0.2">
      <c r="B20" s="38"/>
      <c r="C20" s="40"/>
      <c r="D20" s="40"/>
      <c r="E20" s="42"/>
      <c r="F20" s="38"/>
      <c r="G20"/>
      <c r="H20"/>
      <c r="I20"/>
      <c r="J20"/>
    </row>
    <row r="21" spans="2:14" x14ac:dyDescent="0.2">
      <c r="B21" s="38"/>
      <c r="C21" s="40" t="s">
        <v>2</v>
      </c>
      <c r="D21" s="40" t="s">
        <v>24</v>
      </c>
      <c r="E21" s="41"/>
      <c r="F21" s="38"/>
      <c r="G21"/>
      <c r="H21"/>
      <c r="I21"/>
      <c r="J21"/>
    </row>
    <row r="22" spans="2:14" x14ac:dyDescent="0.2">
      <c r="B22" s="38"/>
      <c r="C22" s="40"/>
      <c r="D22" s="40"/>
      <c r="E22" s="42"/>
      <c r="F22" s="38"/>
      <c r="G22"/>
      <c r="H22"/>
      <c r="I22"/>
      <c r="J22"/>
    </row>
    <row r="23" spans="2:14" x14ac:dyDescent="0.2">
      <c r="B23" s="38"/>
      <c r="C23" s="40" t="s">
        <v>3</v>
      </c>
      <c r="D23" s="40" t="s">
        <v>24</v>
      </c>
      <c r="E23" s="41"/>
      <c r="F23" s="38"/>
      <c r="G23"/>
      <c r="H23"/>
      <c r="I23"/>
      <c r="J23"/>
    </row>
    <row r="24" spans="2:14" x14ac:dyDescent="0.2">
      <c r="B24" s="38"/>
      <c r="C24" s="40"/>
      <c r="D24" s="40"/>
      <c r="E24" s="42"/>
      <c r="F24" s="38"/>
      <c r="G24"/>
      <c r="H24"/>
      <c r="I24"/>
      <c r="J24"/>
    </row>
    <row r="25" spans="2:14" x14ac:dyDescent="0.2">
      <c r="B25" s="38"/>
      <c r="C25" s="40" t="s">
        <v>4</v>
      </c>
      <c r="D25" s="40" t="s">
        <v>24</v>
      </c>
      <c r="E25" s="43"/>
      <c r="F25" s="38"/>
      <c r="G25"/>
      <c r="H25"/>
      <c r="I25"/>
      <c r="J25"/>
    </row>
    <row r="26" spans="2:14" x14ac:dyDescent="0.2">
      <c r="B26" s="38"/>
      <c r="C26" s="40"/>
      <c r="D26" s="40"/>
      <c r="E26" s="42"/>
      <c r="F26" s="38"/>
      <c r="G26"/>
      <c r="H26"/>
      <c r="I26"/>
      <c r="J26"/>
    </row>
    <row r="27" spans="2:14" x14ac:dyDescent="0.2">
      <c r="B27" s="38"/>
      <c r="C27" s="40" t="s">
        <v>5</v>
      </c>
      <c r="D27" s="40" t="s">
        <v>24</v>
      </c>
      <c r="E27" s="41"/>
      <c r="F27" s="38"/>
      <c r="G27"/>
      <c r="H27"/>
      <c r="I27"/>
      <c r="J27"/>
    </row>
    <row r="28" spans="2:14" x14ac:dyDescent="0.2">
      <c r="B28" s="38"/>
      <c r="C28" s="40"/>
      <c r="D28" s="40"/>
      <c r="E28" s="42"/>
      <c r="F28" s="38"/>
      <c r="G28"/>
      <c r="H28"/>
      <c r="I28"/>
      <c r="J28"/>
    </row>
    <row r="29" spans="2:14" x14ac:dyDescent="0.2">
      <c r="B29" s="38"/>
      <c r="C29" s="40" t="s">
        <v>6</v>
      </c>
      <c r="D29" s="40" t="s">
        <v>24</v>
      </c>
      <c r="E29" s="41"/>
      <c r="F29" s="38"/>
      <c r="G29"/>
      <c r="H29"/>
      <c r="I29"/>
      <c r="J29"/>
    </row>
    <row r="30" spans="2:14" x14ac:dyDescent="0.2">
      <c r="B30" s="38"/>
      <c r="C30" s="40"/>
      <c r="D30" s="40"/>
      <c r="E30" s="42"/>
      <c r="F30" s="38"/>
      <c r="G30"/>
      <c r="H30"/>
      <c r="I30"/>
      <c r="J30"/>
    </row>
    <row r="31" spans="2:14" x14ac:dyDescent="0.2">
      <c r="B31" s="38"/>
      <c r="C31" s="40" t="s">
        <v>7</v>
      </c>
      <c r="D31" s="40" t="s">
        <v>24</v>
      </c>
      <c r="E31" s="60" t="str">
        <f>_xlfn.IFNA(INDEX(Reference!H3:K9,MATCH(E29,Reference!I3:I9,0),MATCH(C31,Reference!H3:K3,0)),"")</f>
        <v/>
      </c>
      <c r="F31" s="38"/>
      <c r="G31"/>
      <c r="H31"/>
      <c r="I31"/>
      <c r="J31"/>
      <c r="N31" s="45" t="str">
        <f ca="1">_xlfn.FORMULATEXT(E31)</f>
        <v>=IFNA(INDEX(Reference!H3:K9,MATCH(E29,Reference!I3:I9,0),MATCH(C31,Reference!H3:K3,0)),"")</v>
      </c>
    </row>
    <row r="32" spans="2:14" x14ac:dyDescent="0.2">
      <c r="B32" s="38"/>
      <c r="C32" s="40"/>
      <c r="D32" s="40"/>
      <c r="E32" s="57"/>
      <c r="F32" s="38"/>
      <c r="G32"/>
      <c r="H32"/>
      <c r="I32"/>
      <c r="J32"/>
    </row>
    <row r="33" spans="2:14" x14ac:dyDescent="0.2">
      <c r="B33" s="38"/>
      <c r="C33" s="40" t="s">
        <v>8</v>
      </c>
      <c r="D33" s="40" t="s">
        <v>24</v>
      </c>
      <c r="E33" s="58" t="str">
        <f>_xlfn.IFNA(INDEX(Reference!H3:K9,MATCH(E29,Reference!I3:I9,0),MATCH('REGISTRATION FORM'!C33,Reference!H3:K3,0)),"")</f>
        <v/>
      </c>
      <c r="F33" s="38"/>
      <c r="G33"/>
      <c r="H33"/>
      <c r="I33"/>
      <c r="J33"/>
      <c r="N33" s="45" t="str">
        <f ca="1">_xlfn.FORMULATEXT(E33)</f>
        <v>=IFNA(INDEX(Reference!H3:K9,MATCH(E29,Reference!I3:I9,0),MATCH('REGISTRATION FORM'!C33,Reference!H3:K3,0)),"")</v>
      </c>
    </row>
    <row r="34" spans="2:14" x14ac:dyDescent="0.2">
      <c r="B34" s="38"/>
      <c r="C34" s="40"/>
      <c r="D34" s="40"/>
      <c r="E34" s="57"/>
      <c r="F34" s="38"/>
      <c r="G34"/>
      <c r="H34"/>
      <c r="I34"/>
      <c r="J34"/>
    </row>
    <row r="35" spans="2:14" x14ac:dyDescent="0.2">
      <c r="B35" s="38"/>
      <c r="C35" s="40" t="s">
        <v>9</v>
      </c>
      <c r="D35" s="40"/>
      <c r="E35" s="57"/>
      <c r="F35" s="38"/>
      <c r="G35"/>
      <c r="H35"/>
      <c r="I35"/>
      <c r="J35"/>
    </row>
    <row r="36" spans="2:14" x14ac:dyDescent="0.2">
      <c r="B36" s="38"/>
      <c r="C36" s="46" t="s">
        <v>52</v>
      </c>
      <c r="D36" s="40" t="s">
        <v>24</v>
      </c>
      <c r="E36" s="59" t="str">
        <f>IFERROR(IF(E31&gt;5000,CONCATENATE("11%",","," ","RM"," ",Reference!O4*E31),CONCATENATE("8%",","," ","RM"," ",Reference!O5*E31)),"")</f>
        <v/>
      </c>
      <c r="F36" s="38"/>
      <c r="G36"/>
      <c r="H36"/>
      <c r="I36"/>
      <c r="J36"/>
      <c r="N36" s="45" t="str">
        <f ca="1">_xlfn.FORMULATEXT(E36)</f>
        <v>=IFERROR(IF(E31&gt;5000,CONCATENATE("11%",","," ","RM"," ",Reference!O4*E31),CONCATENATE("8%",","," ","RM"," ",Reference!O5*E31)),"")</v>
      </c>
    </row>
    <row r="37" spans="2:14" x14ac:dyDescent="0.2">
      <c r="B37" s="38"/>
      <c r="C37" s="46" t="s">
        <v>53</v>
      </c>
      <c r="D37" s="38" t="s">
        <v>24</v>
      </c>
      <c r="E37" s="60" t="str">
        <f>IFERROR(IF(E31&gt;5000,CONCATENATE("12%",","," ","RM"," ",Reference!P4*E31),CONCATENATE("13%",","," ","RM"," ",Reference!P5*E31)),"")</f>
        <v/>
      </c>
      <c r="F37" s="38"/>
      <c r="G37"/>
      <c r="H37"/>
      <c r="I37"/>
      <c r="J37"/>
      <c r="N37" s="45" t="str">
        <f ca="1">_xlfn.FORMULATEXT(E37)</f>
        <v>=IFERROR(IF(E31&gt;5000,CONCATENATE("12%",","," ","RM"," ",Reference!P4*E31),CONCATENATE("13%",","," ","RM"," ",Reference!P5*E31)),"")</v>
      </c>
    </row>
    <row r="38" spans="2:14" customFormat="1" x14ac:dyDescent="0.2">
      <c r="B38" s="1"/>
      <c r="C38" s="1"/>
      <c r="D38" s="1"/>
      <c r="E38" s="61"/>
      <c r="F38" s="1"/>
    </row>
    <row r="39" spans="2:14" x14ac:dyDescent="0.2">
      <c r="B39" s="38"/>
      <c r="C39" s="40" t="s">
        <v>10</v>
      </c>
      <c r="D39" s="40" t="s">
        <v>24</v>
      </c>
      <c r="E39" s="60" t="str">
        <f>IFERROR(IF(Basic_Wages&lt;2000,"Nil",IF(AND(Basic_Wages&gt;=2000,Basic_Wages&lt;=3000,OR(Marital_Status=MaritalStatus_1,Marital_Status=MaritalStatus_3,Marital_Status=MaritalStatus_4)),CONCATENATE("3%",","," ","RM"," ",Basic_Wages*3%),IF(AND(Basic_Wages&gt;3000,Marital_Status=MaritalStatus_2),CONCATENATE("8%",","," ","RM"," ",Basic_Wages*8%),CONCATENATE("5%",","," ","RM"," ",Basic_Wages*5%)))),"")</f>
        <v/>
      </c>
      <c r="F39" s="38"/>
      <c r="G39"/>
      <c r="H39"/>
      <c r="I39"/>
      <c r="J39"/>
      <c r="N39" s="45" t="str">
        <f ca="1">_xlfn.FORMULATEXT(E39)</f>
        <v>=IFERROR(IF(Basic_Wages&lt;2000,"Nil",IF(AND(Basic_Wages&gt;=2000,Basic_Wages&lt;=3000,OR(Marital_Status=MaritalStatus_1,Marital_Status=MaritalStatus_3,Marital_Status=MaritalStatus_4)),CONCATENATE("3%",","," ","RM"," ",Basic_Wages*3%),IF(AND(Basic_Wages&gt;3000,Marital_Status=MaritalStatus_2),CONCATENATE("8%",","," ","RM"," ",Basic_Wages*8%),CONCATENATE("5%",","," ","RM"," ",Basic_Wages*5%)))),"")</v>
      </c>
    </row>
    <row r="40" spans="2:14" x14ac:dyDescent="0.2">
      <c r="B40" s="38"/>
      <c r="C40" s="38"/>
      <c r="D40" s="38"/>
      <c r="E40" s="42"/>
      <c r="F40" s="38"/>
      <c r="G40"/>
      <c r="H40"/>
      <c r="I40"/>
      <c r="J40"/>
    </row>
    <row r="41" spans="2:14" x14ac:dyDescent="0.2">
      <c r="B41" s="38"/>
      <c r="C41" s="40" t="s">
        <v>11</v>
      </c>
      <c r="D41" s="40"/>
      <c r="E41" s="42"/>
      <c r="F41" s="38"/>
      <c r="G41"/>
      <c r="H41"/>
      <c r="I41"/>
      <c r="J41"/>
    </row>
    <row r="42" spans="2:14" x14ac:dyDescent="0.2">
      <c r="B42" s="38"/>
      <c r="C42" s="38" t="s">
        <v>46</v>
      </c>
      <c r="D42" s="38" t="s">
        <v>24</v>
      </c>
      <c r="E42" s="44" t="str">
        <f>IF('REGISTRATION FORM'!E29="Executive","RM 200",IF('REGISTRATION FORM'!E29="Manager","RM 300","-"))</f>
        <v>-</v>
      </c>
      <c r="F42" s="38"/>
      <c r="G42"/>
      <c r="H42"/>
      <c r="I42"/>
      <c r="J42"/>
      <c r="N42" s="45" t="str">
        <f ca="1">_xlfn.FORMULATEXT(E42)</f>
        <v>=IF('REGISTRATION FORM'!E29="Executive","RM 200",IF('REGISTRATION FORM'!E29="Manager","RM 300","-"))</v>
      </c>
    </row>
    <row r="43" spans="2:14" x14ac:dyDescent="0.2">
      <c r="B43" s="38"/>
      <c r="C43" s="38" t="s">
        <v>47</v>
      </c>
      <c r="D43" s="38" t="s">
        <v>24</v>
      </c>
      <c r="E43" s="62" t="str">
        <f>IF(E29="Trucker","RM 500","-")</f>
        <v>-</v>
      </c>
      <c r="F43" s="38"/>
      <c r="G43"/>
      <c r="H43"/>
      <c r="J43"/>
      <c r="N43" s="45" t="str">
        <f ca="1">_xlfn.FORMULATEXT(E43)</f>
        <v>=IF(E29="Trucker","RM 500","-")</v>
      </c>
    </row>
    <row r="44" spans="2:14" x14ac:dyDescent="0.2">
      <c r="B44" s="38"/>
      <c r="C44" s="38" t="s">
        <v>50</v>
      </c>
      <c r="D44" s="38" t="s">
        <v>24</v>
      </c>
      <c r="E44" s="44" t="str">
        <f>IF(OR(E29="Clerk",E29="Operator",E29="Trucker"),"RM 150","-")</f>
        <v>-</v>
      </c>
      <c r="F44" s="38"/>
      <c r="G44"/>
      <c r="H44"/>
      <c r="I44"/>
      <c r="J44"/>
      <c r="N44" s="45" t="str">
        <f ca="1">_xlfn.FORMULATEXT(E44)</f>
        <v>=IF(OR(E29="Clerk",E29="Operator",E29="Trucker"),"RM 150","-")</v>
      </c>
    </row>
    <row r="45" spans="2:14" x14ac:dyDescent="0.2">
      <c r="B45" s="38"/>
      <c r="C45" s="38" t="s">
        <v>49</v>
      </c>
      <c r="D45" s="38" t="s">
        <v>24</v>
      </c>
      <c r="E45" s="44" t="str">
        <f>IF('REGISTRATION FORM'!E29="Executive","RM 300",IF('REGISTRATION FORM'!E29="Manager","RM 500","-"))</f>
        <v>-</v>
      </c>
      <c r="F45" s="38"/>
      <c r="G45"/>
      <c r="H45"/>
      <c r="I45"/>
      <c r="J45"/>
      <c r="N45" s="45" t="str">
        <f ca="1">_xlfn.FORMULATEXT(E45)</f>
        <v>=IF('REGISTRATION FORM'!E29="Executive","RM 300",IF('REGISTRATION FORM'!E29="Manager","RM 500","-"))</v>
      </c>
    </row>
    <row r="46" spans="2:14" ht="46" customHeight="1" x14ac:dyDescent="0.2">
      <c r="B46" s="38"/>
      <c r="C46" s="38"/>
      <c r="D46" s="38"/>
      <c r="E46" s="49"/>
      <c r="F46" s="38"/>
      <c r="G46"/>
      <c r="H46"/>
      <c r="I46"/>
      <c r="J46"/>
    </row>
    <row r="47" spans="2:14" x14ac:dyDescent="0.2">
      <c r="B47" s="38"/>
      <c r="C47" s="38"/>
      <c r="D47" s="38"/>
      <c r="E47" s="42"/>
      <c r="F47" s="38"/>
      <c r="G47"/>
      <c r="H47"/>
      <c r="I47"/>
      <c r="J47"/>
    </row>
    <row r="48" spans="2:14" x14ac:dyDescent="0.2">
      <c r="B48" s="38"/>
      <c r="C48" s="38"/>
      <c r="D48" s="38"/>
      <c r="E48" s="49"/>
      <c r="F48" s="38"/>
      <c r="I48"/>
      <c r="J48"/>
    </row>
    <row r="49" spans="2:6" x14ac:dyDescent="0.2">
      <c r="B49" s="1"/>
      <c r="C49" s="1"/>
      <c r="D49" s="1"/>
      <c r="E49" s="27"/>
      <c r="F49" s="38"/>
    </row>
    <row r="50" spans="2:6" ht="180" customHeight="1" x14ac:dyDescent="0.2">
      <c r="B50" s="1"/>
      <c r="C50" s="1"/>
      <c r="D50" s="1"/>
      <c r="E50" s="27"/>
      <c r="F50" s="38"/>
    </row>
    <row r="51" spans="2:6" x14ac:dyDescent="0.2">
      <c r="B51"/>
      <c r="C51"/>
      <c r="D51"/>
      <c r="E51" s="48"/>
    </row>
    <row r="52" spans="2:6" x14ac:dyDescent="0.2">
      <c r="B52"/>
      <c r="C52"/>
      <c r="D52"/>
      <c r="E52" s="48"/>
    </row>
    <row r="53" spans="2:6" x14ac:dyDescent="0.2">
      <c r="B53"/>
      <c r="C53"/>
      <c r="D53"/>
      <c r="E53" s="48"/>
    </row>
    <row r="54" spans="2:6" x14ac:dyDescent="0.2">
      <c r="B54"/>
      <c r="C54"/>
      <c r="D54"/>
      <c r="E54" s="48"/>
    </row>
    <row r="55" spans="2:6" x14ac:dyDescent="0.2">
      <c r="B55"/>
      <c r="C55"/>
      <c r="D55"/>
      <c r="E55" s="48"/>
    </row>
    <row r="56" spans="2:6" x14ac:dyDescent="0.2">
      <c r="B56"/>
      <c r="C56"/>
      <c r="D56"/>
      <c r="E56" s="48"/>
    </row>
    <row r="57" spans="2:6" x14ac:dyDescent="0.2">
      <c r="B57"/>
      <c r="C57"/>
      <c r="D57"/>
      <c r="E57" s="48"/>
    </row>
    <row r="58" spans="2:6" x14ac:dyDescent="0.2">
      <c r="B58"/>
      <c r="C58"/>
      <c r="D58"/>
      <c r="E58" s="48"/>
    </row>
    <row r="59" spans="2:6" x14ac:dyDescent="0.2">
      <c r="B59"/>
      <c r="C59"/>
      <c r="D59"/>
      <c r="E59" s="48"/>
    </row>
    <row r="60" spans="2:6" x14ac:dyDescent="0.2">
      <c r="B60"/>
      <c r="C60"/>
      <c r="D60"/>
      <c r="E60" s="48"/>
    </row>
    <row r="61" spans="2:6" x14ac:dyDescent="0.2">
      <c r="B61"/>
      <c r="C61"/>
      <c r="D61"/>
      <c r="E61" s="48"/>
    </row>
  </sheetData>
  <dataValidations count="2">
    <dataValidation type="whole" allowBlank="1" showInputMessage="1" showErrorMessage="1" promptTitle="Age" prompt="Must enter number only (18-60)" sqref="E17" xr:uid="{3553B23C-F5D3-C04E-A201-C70C3FE14223}">
      <formula1>18</formula1>
      <formula2>60</formula2>
    </dataValidation>
    <dataValidation type="textLength" allowBlank="1" showInputMessage="1" showErrorMessage="1" promptTitle="Name" prompt="Enter full name (e.g., Siti Binti Ahmad)" sqref="E15" xr:uid="{3C12FCB1-AAAE-A242-9B79-D98A7F8D4111}">
      <formula1>1</formula1>
      <formula2>50</formula2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Spinner 6">
              <controlPr defaultSize="0" autoPict="0">
                <anchor moveWithCells="1" sizeWithCells="1">
                  <from>
                    <xdr:col>4</xdr:col>
                    <xdr:colOff>1574800</xdr:colOff>
                    <xdr:row>21</xdr:row>
                    <xdr:rowOff>203200</xdr:rowOff>
                  </from>
                  <to>
                    <xdr:col>4</xdr:col>
                    <xdr:colOff>1866900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15A44B4-2934-DA4C-9DD7-2E270C9B4EFD}">
          <x14:formula1>
            <xm:f>Reference!$B$3:$B$6</xm:f>
          </x14:formula1>
          <xm:sqref>E19</xm:sqref>
        </x14:dataValidation>
        <x14:dataValidation type="list" allowBlank="1" showInputMessage="1" showErrorMessage="1" xr:uid="{A7E8AFA8-39EB-0A46-A12C-A2BD69BF7316}">
          <x14:formula1>
            <xm:f>Reference!$D$3:$D$25</xm:f>
          </x14:formula1>
          <xm:sqref>E27</xm:sqref>
        </x14:dataValidation>
        <x14:dataValidation type="list" allowBlank="1" showInputMessage="1" showErrorMessage="1" xr:uid="{5911AF7E-742F-384B-997E-0782B16956BA}">
          <x14:formula1>
            <xm:f>Reference!$F$3:$F$6</xm:f>
          </x14:formula1>
          <xm:sqref>E21</xm:sqref>
        </x14:dataValidation>
        <x14:dataValidation type="list" allowBlank="1" showInputMessage="1" showErrorMessage="1" xr:uid="{10D2BDC4-73BB-5C42-B040-C5789FD1109E}">
          <x14:formula1>
            <xm:f>Reference!$I$4:$I$18</xm:f>
          </x14:formula1>
          <xm:sqref>E29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14253-AEDB-C64E-92C7-5DE41460F17C}">
  <sheetPr codeName="Sheet3"/>
  <dimension ref="B4:S31"/>
  <sheetViews>
    <sheetView zoomScaleNormal="100" workbookViewId="0">
      <selection activeCell="P25" sqref="P25"/>
    </sheetView>
  </sheetViews>
  <sheetFormatPr baseColWidth="10" defaultRowHeight="16" x14ac:dyDescent="0.2"/>
  <cols>
    <col min="1" max="1" width="4.6640625" customWidth="1"/>
    <col min="2" max="2" width="8.6640625" customWidth="1"/>
    <col min="3" max="3" width="30" customWidth="1"/>
    <col min="4" max="4" width="12.6640625" style="48" customWidth="1"/>
    <col min="5" max="5" width="11.1640625" style="48" customWidth="1"/>
    <col min="6" max="6" width="25" style="48" customWidth="1"/>
    <col min="7" max="7" width="18.5" style="48" customWidth="1"/>
    <col min="8" max="8" width="16.6640625" style="69" customWidth="1"/>
    <col min="9" max="9" width="17.33203125" style="48" customWidth="1"/>
    <col min="10" max="10" width="18.5" style="48" customWidth="1"/>
    <col min="11" max="11" width="18" style="64" customWidth="1"/>
    <col min="12" max="12" width="21" style="48" customWidth="1"/>
    <col min="13" max="13" width="19.33203125" style="68" customWidth="1"/>
    <col min="14" max="14" width="18.83203125" style="68" customWidth="1"/>
    <col min="15" max="15" width="36.6640625" style="68" customWidth="1"/>
    <col min="16" max="16" width="11.6640625" style="63" customWidth="1"/>
    <col min="17" max="17" width="13" style="63" customWidth="1"/>
    <col min="18" max="18" width="11.33203125" style="63" customWidth="1"/>
    <col min="19" max="19" width="18.6640625" style="63" customWidth="1"/>
  </cols>
  <sheetData>
    <row r="4" spans="2:19" x14ac:dyDescent="0.2">
      <c r="M4" s="70" t="s">
        <v>9</v>
      </c>
      <c r="N4" s="70"/>
      <c r="P4" s="71" t="s">
        <v>11</v>
      </c>
      <c r="Q4" s="71"/>
      <c r="R4" s="71"/>
      <c r="S4" s="71"/>
    </row>
    <row r="5" spans="2:19" s="48" customFormat="1" x14ac:dyDescent="0.2">
      <c r="B5" s="47" t="s">
        <v>26</v>
      </c>
      <c r="C5" s="47" t="s">
        <v>51</v>
      </c>
      <c r="D5" s="47" t="s">
        <v>0</v>
      </c>
      <c r="E5" s="47" t="s">
        <v>1</v>
      </c>
      <c r="F5" s="47" t="s">
        <v>2</v>
      </c>
      <c r="G5" s="47" t="s">
        <v>3</v>
      </c>
      <c r="H5" s="56" t="s">
        <v>4</v>
      </c>
      <c r="I5" s="47" t="s">
        <v>5</v>
      </c>
      <c r="J5" s="47" t="s">
        <v>6</v>
      </c>
      <c r="K5" s="65" t="s">
        <v>7</v>
      </c>
      <c r="L5" s="47" t="s">
        <v>8</v>
      </c>
      <c r="M5" s="67" t="s">
        <v>52</v>
      </c>
      <c r="N5" s="67" t="s">
        <v>53</v>
      </c>
      <c r="O5" s="66" t="s">
        <v>10</v>
      </c>
      <c r="P5" s="66" t="s">
        <v>46</v>
      </c>
      <c r="Q5" s="66" t="s">
        <v>47</v>
      </c>
      <c r="R5" s="66" t="s">
        <v>50</v>
      </c>
      <c r="S5" s="66" t="s">
        <v>49</v>
      </c>
    </row>
    <row r="6" spans="2:19" x14ac:dyDescent="0.2">
      <c r="B6" cm="1">
        <f t="array" ref="B6">ROW(1:1)</f>
        <v>1</v>
      </c>
      <c r="M6" s="63"/>
      <c r="N6" s="63"/>
      <c r="O6" s="63"/>
      <c r="R6" s="48"/>
    </row>
    <row r="7" spans="2:19" x14ac:dyDescent="0.2">
      <c r="B7" cm="1">
        <f t="array" ref="B7">ROW(2:2)</f>
        <v>2</v>
      </c>
      <c r="C7" t="s">
        <v>62</v>
      </c>
      <c r="D7" s="48">
        <v>33</v>
      </c>
      <c r="E7" s="48" t="s">
        <v>13</v>
      </c>
      <c r="F7" s="48" t="s">
        <v>20</v>
      </c>
      <c r="G7" s="48">
        <v>1</v>
      </c>
      <c r="H7" s="69">
        <v>44682</v>
      </c>
      <c r="I7" s="48" t="s">
        <v>19</v>
      </c>
      <c r="J7" s="48" t="s">
        <v>27</v>
      </c>
      <c r="K7" s="64">
        <v>2400</v>
      </c>
      <c r="L7" s="48" t="s">
        <v>28</v>
      </c>
      <c r="M7" s="63" t="s">
        <v>64</v>
      </c>
      <c r="N7" s="63" t="s">
        <v>65</v>
      </c>
      <c r="O7" s="63" t="s">
        <v>79</v>
      </c>
      <c r="P7" s="63" t="s">
        <v>81</v>
      </c>
      <c r="Q7" s="63" t="s">
        <v>57</v>
      </c>
      <c r="R7" s="48" t="s">
        <v>57</v>
      </c>
      <c r="S7" s="63" t="s">
        <v>54</v>
      </c>
    </row>
    <row r="8" spans="2:19" x14ac:dyDescent="0.2">
      <c r="B8" cm="1">
        <f t="array" ref="B8">ROW(3:3)</f>
        <v>3</v>
      </c>
      <c r="C8" t="s">
        <v>59</v>
      </c>
      <c r="D8" s="48">
        <v>29</v>
      </c>
      <c r="E8" s="48" t="s">
        <v>14</v>
      </c>
      <c r="F8" s="48" t="s">
        <v>21</v>
      </c>
      <c r="G8" s="48">
        <v>2</v>
      </c>
      <c r="H8" s="69">
        <v>44682</v>
      </c>
      <c r="I8" s="48" t="s">
        <v>18</v>
      </c>
      <c r="J8" s="48" t="s">
        <v>27</v>
      </c>
      <c r="K8" s="64">
        <v>2400</v>
      </c>
      <c r="L8" s="48" t="s">
        <v>28</v>
      </c>
      <c r="M8" s="63" t="s">
        <v>64</v>
      </c>
      <c r="N8" s="63" t="s">
        <v>65</v>
      </c>
      <c r="O8" s="63" t="s">
        <v>66</v>
      </c>
      <c r="P8" s="63" t="s">
        <v>81</v>
      </c>
      <c r="Q8" s="63" t="s">
        <v>57</v>
      </c>
      <c r="R8" s="48" t="s">
        <v>57</v>
      </c>
      <c r="S8" s="63" t="s">
        <v>54</v>
      </c>
    </row>
    <row r="9" spans="2:19" x14ac:dyDescent="0.2">
      <c r="B9" cm="1">
        <f t="array" ref="B9">ROW(4:4)</f>
        <v>4</v>
      </c>
      <c r="C9" t="s">
        <v>63</v>
      </c>
      <c r="D9" s="48">
        <v>25</v>
      </c>
      <c r="E9" s="48" t="s">
        <v>13</v>
      </c>
      <c r="F9" s="48" t="s">
        <v>22</v>
      </c>
      <c r="G9" s="48">
        <v>0</v>
      </c>
      <c r="H9" s="69">
        <v>44652</v>
      </c>
      <c r="I9" s="48" t="s">
        <v>17</v>
      </c>
      <c r="J9" s="48" t="s">
        <v>33</v>
      </c>
      <c r="K9" s="64">
        <v>5100</v>
      </c>
      <c r="L9" s="48" t="s">
        <v>28</v>
      </c>
      <c r="M9" s="63" t="s">
        <v>68</v>
      </c>
      <c r="N9" s="63" t="s">
        <v>69</v>
      </c>
      <c r="O9" s="63" t="s">
        <v>72</v>
      </c>
      <c r="P9" s="63" t="s">
        <v>54</v>
      </c>
      <c r="Q9" s="63" t="s">
        <v>57</v>
      </c>
      <c r="R9" s="48" t="s">
        <v>57</v>
      </c>
      <c r="S9" s="63" t="s">
        <v>55</v>
      </c>
    </row>
    <row r="10" spans="2:19" x14ac:dyDescent="0.2">
      <c r="B10" cm="1">
        <f t="array" ref="B10">ROW(5:5)</f>
        <v>5</v>
      </c>
      <c r="C10" t="s">
        <v>80</v>
      </c>
      <c r="D10" s="48">
        <v>38</v>
      </c>
      <c r="E10" s="48" t="s">
        <v>13</v>
      </c>
      <c r="F10" s="48" t="s">
        <v>20</v>
      </c>
      <c r="G10" s="48">
        <v>3</v>
      </c>
      <c r="H10" s="69">
        <v>44623</v>
      </c>
      <c r="I10" s="48" t="s">
        <v>17</v>
      </c>
      <c r="J10" s="48" t="s">
        <v>32</v>
      </c>
      <c r="K10" s="64">
        <v>1200</v>
      </c>
      <c r="L10" s="48" t="s">
        <v>31</v>
      </c>
      <c r="M10" s="63" t="s">
        <v>73</v>
      </c>
      <c r="N10" s="63" t="s">
        <v>74</v>
      </c>
      <c r="O10" s="63" t="s">
        <v>42</v>
      </c>
      <c r="P10" s="63" t="s">
        <v>57</v>
      </c>
      <c r="Q10" s="63" t="s">
        <v>55</v>
      </c>
      <c r="R10" s="48" t="s">
        <v>56</v>
      </c>
      <c r="S10" s="63" t="s">
        <v>57</v>
      </c>
    </row>
    <row r="11" spans="2:19" x14ac:dyDescent="0.2">
      <c r="B11" cm="1">
        <f t="array" ref="B11">ROW(6:6)</f>
        <v>6</v>
      </c>
      <c r="C11" t="s">
        <v>60</v>
      </c>
      <c r="D11" s="48">
        <v>35</v>
      </c>
      <c r="E11" s="48" t="s">
        <v>15</v>
      </c>
      <c r="F11" s="48" t="s">
        <v>21</v>
      </c>
      <c r="G11" s="48">
        <v>3</v>
      </c>
      <c r="H11" s="69">
        <v>44567</v>
      </c>
      <c r="I11" s="48" t="s">
        <v>17</v>
      </c>
      <c r="J11" s="48" t="s">
        <v>30</v>
      </c>
      <c r="K11" s="64">
        <v>1200</v>
      </c>
      <c r="L11" s="48" t="s">
        <v>31</v>
      </c>
      <c r="M11" s="63" t="s">
        <v>73</v>
      </c>
      <c r="N11" s="63" t="s">
        <v>74</v>
      </c>
      <c r="O11" s="63" t="s">
        <v>42</v>
      </c>
      <c r="P11" s="63" t="s">
        <v>57</v>
      </c>
      <c r="Q11" s="63" t="s">
        <v>57</v>
      </c>
      <c r="R11" s="48" t="s">
        <v>56</v>
      </c>
      <c r="S11" s="63" t="s">
        <v>57</v>
      </c>
    </row>
    <row r="12" spans="2:19" x14ac:dyDescent="0.2">
      <c r="B12" cm="1">
        <f t="array" ref="B12">ROW(7:7)</f>
        <v>7</v>
      </c>
      <c r="C12" t="s">
        <v>78</v>
      </c>
      <c r="D12" s="48">
        <v>31</v>
      </c>
      <c r="E12" s="48" t="s">
        <v>14</v>
      </c>
      <c r="F12" s="48" t="s">
        <v>21</v>
      </c>
      <c r="G12" s="48">
        <v>2</v>
      </c>
      <c r="H12" s="69">
        <v>44566</v>
      </c>
      <c r="I12" s="48" t="s">
        <v>19</v>
      </c>
      <c r="J12" s="48" t="s">
        <v>29</v>
      </c>
      <c r="K12" s="64">
        <v>1800</v>
      </c>
      <c r="L12" s="48" t="s">
        <v>28</v>
      </c>
      <c r="M12" s="63" t="s">
        <v>75</v>
      </c>
      <c r="N12" s="63" t="s">
        <v>76</v>
      </c>
      <c r="O12" s="63" t="s">
        <v>42</v>
      </c>
      <c r="P12" s="63" t="s">
        <v>57</v>
      </c>
      <c r="Q12" s="63" t="s">
        <v>57</v>
      </c>
      <c r="R12" s="48" t="s">
        <v>56</v>
      </c>
      <c r="S12" s="63" t="s">
        <v>57</v>
      </c>
    </row>
    <row r="13" spans="2:19" x14ac:dyDescent="0.2">
      <c r="B13" cm="1">
        <f t="array" ref="B13">ROW(8:8)</f>
        <v>8</v>
      </c>
      <c r="C13" t="s">
        <v>77</v>
      </c>
      <c r="D13" s="48">
        <v>32</v>
      </c>
      <c r="E13" s="48" t="s">
        <v>13</v>
      </c>
      <c r="F13" s="48" t="s">
        <v>23</v>
      </c>
      <c r="G13" s="48">
        <v>4</v>
      </c>
      <c r="H13" s="69">
        <v>44564</v>
      </c>
      <c r="I13" s="48" t="s">
        <v>17</v>
      </c>
      <c r="J13" s="48" t="s">
        <v>30</v>
      </c>
      <c r="K13" s="64">
        <v>1200</v>
      </c>
      <c r="L13" s="48" t="s">
        <v>31</v>
      </c>
      <c r="M13" s="63" t="s">
        <v>73</v>
      </c>
      <c r="N13" s="63" t="s">
        <v>74</v>
      </c>
      <c r="O13" s="63" t="s">
        <v>42</v>
      </c>
      <c r="P13" s="63" t="s">
        <v>57</v>
      </c>
      <c r="Q13" s="63" t="s">
        <v>57</v>
      </c>
      <c r="R13" s="48" t="s">
        <v>56</v>
      </c>
      <c r="S13" s="63" t="s">
        <v>57</v>
      </c>
    </row>
    <row r="14" spans="2:19" x14ac:dyDescent="0.2">
      <c r="B14" cm="1">
        <f t="array" ref="B14">ROW(9:9)</f>
        <v>9</v>
      </c>
      <c r="C14" t="s">
        <v>61</v>
      </c>
      <c r="D14" s="48">
        <v>20</v>
      </c>
      <c r="E14" s="48" t="s">
        <v>13</v>
      </c>
      <c r="F14" s="48" t="s">
        <v>22</v>
      </c>
      <c r="G14" s="48">
        <v>0</v>
      </c>
      <c r="H14" s="69">
        <v>44562</v>
      </c>
      <c r="I14" s="48" t="s">
        <v>19</v>
      </c>
      <c r="J14" s="48" t="s">
        <v>29</v>
      </c>
      <c r="K14" s="64">
        <v>1800</v>
      </c>
      <c r="L14" s="48" t="s">
        <v>28</v>
      </c>
      <c r="M14" s="63" t="s">
        <v>75</v>
      </c>
      <c r="N14" s="63" t="s">
        <v>76</v>
      </c>
      <c r="O14" s="63" t="s">
        <v>42</v>
      </c>
      <c r="P14" s="63" t="s">
        <v>57</v>
      </c>
      <c r="Q14" s="63" t="s">
        <v>57</v>
      </c>
      <c r="R14" s="48" t="s">
        <v>56</v>
      </c>
      <c r="S14" s="63" t="s">
        <v>57</v>
      </c>
    </row>
    <row r="15" spans="2:19" x14ac:dyDescent="0.2">
      <c r="B15" cm="1">
        <f t="array" ref="B15">ROW(10:10)</f>
        <v>10</v>
      </c>
      <c r="C15" t="s">
        <v>58</v>
      </c>
      <c r="D15" s="48">
        <v>40</v>
      </c>
      <c r="E15" s="48" t="s">
        <v>15</v>
      </c>
      <c r="F15" s="48" t="s">
        <v>20</v>
      </c>
      <c r="G15" s="48">
        <v>5</v>
      </c>
      <c r="H15" s="69">
        <v>44562</v>
      </c>
      <c r="I15" s="48" t="s">
        <v>17</v>
      </c>
      <c r="J15" s="48" t="s">
        <v>32</v>
      </c>
      <c r="K15" s="64">
        <v>1200</v>
      </c>
      <c r="L15" s="48" t="s">
        <v>31</v>
      </c>
      <c r="M15" s="63" t="s">
        <v>73</v>
      </c>
      <c r="N15" s="63" t="s">
        <v>74</v>
      </c>
      <c r="O15" s="63" t="s">
        <v>42</v>
      </c>
      <c r="P15" s="63" t="s">
        <v>57</v>
      </c>
      <c r="Q15" s="63" t="s">
        <v>55</v>
      </c>
      <c r="R15" s="48" t="s">
        <v>56</v>
      </c>
      <c r="S15" s="63" t="s">
        <v>57</v>
      </c>
    </row>
    <row r="16" spans="2:19" x14ac:dyDescent="0.2">
      <c r="B16" cm="1">
        <f t="array" ref="B16">ROW(11:11)</f>
        <v>11</v>
      </c>
      <c r="C16" t="s">
        <v>71</v>
      </c>
      <c r="D16" s="48">
        <v>27</v>
      </c>
      <c r="E16" s="48" t="s">
        <v>14</v>
      </c>
      <c r="F16" s="48" t="s">
        <v>22</v>
      </c>
      <c r="G16" s="48">
        <v>0</v>
      </c>
      <c r="H16" s="69">
        <v>44532</v>
      </c>
      <c r="I16" s="48" t="s">
        <v>18</v>
      </c>
      <c r="J16" s="48" t="s">
        <v>33</v>
      </c>
      <c r="K16" s="64">
        <v>5100</v>
      </c>
      <c r="L16" s="48" t="s">
        <v>28</v>
      </c>
      <c r="M16" s="63" t="s">
        <v>68</v>
      </c>
      <c r="N16" s="63" t="s">
        <v>69</v>
      </c>
      <c r="O16" s="63" t="s">
        <v>72</v>
      </c>
      <c r="P16" s="63" t="s">
        <v>54</v>
      </c>
      <c r="Q16" s="63" t="s">
        <v>57</v>
      </c>
      <c r="R16" s="48" t="s">
        <v>57</v>
      </c>
      <c r="S16" s="63" t="s">
        <v>55</v>
      </c>
    </row>
    <row r="17" spans="2:19" x14ac:dyDescent="0.2">
      <c r="B17" cm="1">
        <f t="array" ref="B17">ROW(12:12)</f>
        <v>12</v>
      </c>
      <c r="C17" t="s">
        <v>67</v>
      </c>
      <c r="D17" s="48">
        <v>28</v>
      </c>
      <c r="E17" s="48" t="s">
        <v>13</v>
      </c>
      <c r="F17" s="48" t="s">
        <v>21</v>
      </c>
      <c r="G17" s="48">
        <v>2</v>
      </c>
      <c r="H17" s="69">
        <v>44503</v>
      </c>
      <c r="I17" s="48" t="s">
        <v>19</v>
      </c>
      <c r="J17" s="48" t="s">
        <v>33</v>
      </c>
      <c r="K17" s="64">
        <v>5100</v>
      </c>
      <c r="L17" s="48" t="s">
        <v>28</v>
      </c>
      <c r="M17" s="63" t="s">
        <v>68</v>
      </c>
      <c r="N17" s="63" t="s">
        <v>69</v>
      </c>
      <c r="O17" s="63" t="s">
        <v>70</v>
      </c>
      <c r="P17" s="63" t="s">
        <v>54</v>
      </c>
      <c r="Q17" s="63" t="s">
        <v>57</v>
      </c>
      <c r="R17" s="48" t="s">
        <v>57</v>
      </c>
      <c r="S17" s="63" t="s">
        <v>55</v>
      </c>
    </row>
    <row r="18" spans="2:19" x14ac:dyDescent="0.2">
      <c r="R18" s="48"/>
    </row>
    <row r="19" spans="2:19" x14ac:dyDescent="0.2">
      <c r="R19" s="48"/>
    </row>
    <row r="20" spans="2:19" x14ac:dyDescent="0.2">
      <c r="R20" s="48"/>
    </row>
    <row r="21" spans="2:19" x14ac:dyDescent="0.2">
      <c r="R21" s="48"/>
    </row>
    <row r="22" spans="2:19" x14ac:dyDescent="0.2">
      <c r="R22" s="48"/>
    </row>
    <row r="23" spans="2:19" x14ac:dyDescent="0.2">
      <c r="R23" s="48"/>
    </row>
    <row r="24" spans="2:19" x14ac:dyDescent="0.2">
      <c r="R24" s="48"/>
    </row>
    <row r="25" spans="2:19" x14ac:dyDescent="0.2">
      <c r="R25" s="48"/>
    </row>
    <row r="26" spans="2:19" x14ac:dyDescent="0.2">
      <c r="R26" s="48"/>
    </row>
    <row r="27" spans="2:19" x14ac:dyDescent="0.2">
      <c r="R27" s="48"/>
    </row>
    <row r="28" spans="2:19" x14ac:dyDescent="0.2">
      <c r="R28" s="48"/>
    </row>
    <row r="29" spans="2:19" x14ac:dyDescent="0.2">
      <c r="R29" s="48"/>
    </row>
    <row r="30" spans="2:19" x14ac:dyDescent="0.2">
      <c r="R30" s="48"/>
    </row>
    <row r="31" spans="2:19" x14ac:dyDescent="0.2">
      <c r="R31" s="48"/>
    </row>
  </sheetData>
  <mergeCells count="2">
    <mergeCell ref="M4:N4"/>
    <mergeCell ref="P4:S4"/>
  </mergeCells>
  <phoneticPr fontId="7" type="noConversion"/>
  <pageMargins left="0.7" right="0.7" top="0.75" bottom="0.75" header="0.3" footer="0.3"/>
  <pageSetup paperSize="9" orientation="portrait" horizontalDpi="0" verticalDpi="0"/>
  <ignoredErrors>
    <ignoredError sqref="P9:S9 P10:S10 P11:S17 P7:S8" numberStoredAsText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37BB2-9482-2341-8B73-0274F3F5D4E3}">
  <sheetPr codeName="Sheet4"/>
  <dimension ref="B1:AB24"/>
  <sheetViews>
    <sheetView topLeftCell="O1" workbookViewId="0">
      <selection activeCell="L19" sqref="L19"/>
    </sheetView>
  </sheetViews>
  <sheetFormatPr baseColWidth="10" defaultRowHeight="16" x14ac:dyDescent="0.2"/>
  <cols>
    <col min="2" max="2" width="8.5" customWidth="1"/>
    <col min="3" max="3" width="18.5" customWidth="1"/>
    <col min="4" max="4" width="25" customWidth="1"/>
    <col min="5" max="5" width="18.1640625" customWidth="1"/>
    <col min="6" max="6" width="24" customWidth="1"/>
    <col min="7" max="7" width="16" customWidth="1"/>
    <col min="11" max="11" width="18.5" customWidth="1"/>
    <col min="14" max="14" width="18.33203125" customWidth="1"/>
    <col min="15" max="15" width="19.83203125" customWidth="1"/>
    <col min="16" max="16" width="22.83203125" customWidth="1"/>
    <col min="19" max="19" width="19.5" customWidth="1"/>
    <col min="20" max="20" width="27.1640625" customWidth="1"/>
    <col min="28" max="28" width="20.33203125" customWidth="1"/>
  </cols>
  <sheetData>
    <row r="1" spans="2:28" ht="17" thickBot="1" x14ac:dyDescent="0.25"/>
    <row r="2" spans="2:28" ht="17" customHeight="1" thickBot="1" x14ac:dyDescent="0.25">
      <c r="B2" s="2" t="s">
        <v>12</v>
      </c>
      <c r="D2" s="2" t="s">
        <v>5</v>
      </c>
      <c r="F2" s="2" t="s">
        <v>2</v>
      </c>
      <c r="H2" s="72" t="s">
        <v>25</v>
      </c>
      <c r="I2" s="73"/>
      <c r="J2" s="73"/>
      <c r="K2" s="74"/>
      <c r="M2" s="72" t="s">
        <v>34</v>
      </c>
      <c r="N2" s="73"/>
      <c r="O2" s="73"/>
      <c r="P2" s="74"/>
      <c r="R2" s="72" t="s">
        <v>39</v>
      </c>
      <c r="S2" s="73"/>
      <c r="T2" s="73"/>
      <c r="U2" s="74"/>
      <c r="W2" s="72" t="s">
        <v>45</v>
      </c>
      <c r="X2" s="73"/>
      <c r="Y2" s="73"/>
      <c r="Z2" s="73"/>
      <c r="AA2" s="73"/>
      <c r="AB2" s="74"/>
    </row>
    <row r="3" spans="2:28" ht="15" customHeight="1" thickBot="1" x14ac:dyDescent="0.25">
      <c r="B3" s="3" t="s">
        <v>13</v>
      </c>
      <c r="D3" s="3" t="s">
        <v>17</v>
      </c>
      <c r="F3" s="4" t="s">
        <v>20</v>
      </c>
      <c r="H3" s="21" t="s">
        <v>26</v>
      </c>
      <c r="I3" s="26" t="s">
        <v>6</v>
      </c>
      <c r="J3" s="21" t="s">
        <v>7</v>
      </c>
      <c r="K3" s="23" t="s">
        <v>8</v>
      </c>
      <c r="M3" s="20" t="s">
        <v>26</v>
      </c>
      <c r="N3" s="28" t="s">
        <v>7</v>
      </c>
      <c r="O3" s="29" t="s">
        <v>35</v>
      </c>
      <c r="P3" s="6" t="s">
        <v>36</v>
      </c>
      <c r="R3" s="20" t="s">
        <v>26</v>
      </c>
      <c r="S3" s="28" t="s">
        <v>7</v>
      </c>
      <c r="T3" s="29" t="s">
        <v>2</v>
      </c>
      <c r="U3" s="6" t="s">
        <v>40</v>
      </c>
      <c r="W3" s="20" t="s">
        <v>26</v>
      </c>
      <c r="X3" s="28" t="s">
        <v>6</v>
      </c>
      <c r="Y3" s="29" t="s">
        <v>46</v>
      </c>
      <c r="Z3" s="6" t="s">
        <v>47</v>
      </c>
      <c r="AA3" s="6" t="s">
        <v>48</v>
      </c>
      <c r="AB3" s="6" t="s">
        <v>49</v>
      </c>
    </row>
    <row r="4" spans="2:28" ht="17" thickBot="1" x14ac:dyDescent="0.25">
      <c r="B4" s="3" t="s">
        <v>14</v>
      </c>
      <c r="D4" s="3" t="s">
        <v>18</v>
      </c>
      <c r="F4" s="4" t="s">
        <v>21</v>
      </c>
      <c r="H4" s="24">
        <v>1</v>
      </c>
      <c r="I4" s="8" t="s">
        <v>27</v>
      </c>
      <c r="J4" s="22">
        <v>2400</v>
      </c>
      <c r="K4" s="10" t="s">
        <v>28</v>
      </c>
      <c r="M4" s="7">
        <v>1</v>
      </c>
      <c r="N4" s="8" t="s">
        <v>37</v>
      </c>
      <c r="O4" s="30">
        <v>0.11</v>
      </c>
      <c r="P4" s="31">
        <v>0.12</v>
      </c>
      <c r="R4" s="75">
        <v>1</v>
      </c>
      <c r="S4" s="75" t="s">
        <v>41</v>
      </c>
      <c r="T4" s="8" t="s">
        <v>20</v>
      </c>
      <c r="U4" s="10" t="s">
        <v>42</v>
      </c>
      <c r="W4" s="7">
        <v>1</v>
      </c>
      <c r="X4" s="8" t="s">
        <v>27</v>
      </c>
      <c r="Y4" s="9">
        <v>200</v>
      </c>
      <c r="Z4" s="10">
        <v>0</v>
      </c>
      <c r="AA4" s="10">
        <v>0</v>
      </c>
      <c r="AB4" s="33">
        <v>300</v>
      </c>
    </row>
    <row r="5" spans="2:28" ht="17" thickBot="1" x14ac:dyDescent="0.25">
      <c r="B5" s="3" t="s">
        <v>15</v>
      </c>
      <c r="D5" s="3" t="s">
        <v>19</v>
      </c>
      <c r="F5" s="3" t="s">
        <v>22</v>
      </c>
      <c r="H5" s="7">
        <v>2</v>
      </c>
      <c r="I5" s="8" t="s">
        <v>29</v>
      </c>
      <c r="J5" s="9">
        <v>1800</v>
      </c>
      <c r="K5" s="10" t="s">
        <v>28</v>
      </c>
      <c r="M5" s="7">
        <v>2</v>
      </c>
      <c r="N5" s="8" t="s">
        <v>38</v>
      </c>
      <c r="O5" s="30">
        <v>0.08</v>
      </c>
      <c r="P5" s="31">
        <v>0.13</v>
      </c>
      <c r="R5" s="76"/>
      <c r="S5" s="76"/>
      <c r="T5" s="8" t="s">
        <v>21</v>
      </c>
      <c r="U5" s="10" t="s">
        <v>42</v>
      </c>
      <c r="W5" s="7">
        <v>2</v>
      </c>
      <c r="X5" s="8" t="s">
        <v>29</v>
      </c>
      <c r="Y5" s="34">
        <v>0</v>
      </c>
      <c r="Z5" s="10">
        <v>0</v>
      </c>
      <c r="AA5" s="33">
        <v>150</v>
      </c>
      <c r="AB5" s="10">
        <v>0</v>
      </c>
    </row>
    <row r="6" spans="2:28" ht="17" thickBot="1" x14ac:dyDescent="0.25">
      <c r="B6" s="3" t="s">
        <v>16</v>
      </c>
      <c r="F6" s="4" t="s">
        <v>23</v>
      </c>
      <c r="H6" s="11">
        <v>3</v>
      </c>
      <c r="I6" s="8" t="s">
        <v>30</v>
      </c>
      <c r="J6" s="9">
        <v>1200</v>
      </c>
      <c r="K6" s="10" t="s">
        <v>31</v>
      </c>
      <c r="R6" s="76"/>
      <c r="S6" s="76"/>
      <c r="T6" s="32" t="s">
        <v>22</v>
      </c>
      <c r="U6" s="10" t="s">
        <v>42</v>
      </c>
      <c r="W6" s="11">
        <v>3</v>
      </c>
      <c r="X6" s="8" t="s">
        <v>30</v>
      </c>
      <c r="Y6" s="34">
        <v>0</v>
      </c>
      <c r="Z6" s="10">
        <v>0</v>
      </c>
      <c r="AA6" s="33">
        <v>150</v>
      </c>
      <c r="AB6" s="10">
        <v>0</v>
      </c>
    </row>
    <row r="7" spans="2:28" ht="17" thickBot="1" x14ac:dyDescent="0.25">
      <c r="H7" s="12">
        <v>4</v>
      </c>
      <c r="I7" s="13" t="s">
        <v>32</v>
      </c>
      <c r="J7" s="14">
        <v>1200</v>
      </c>
      <c r="K7" s="15" t="s">
        <v>31</v>
      </c>
      <c r="R7" s="77"/>
      <c r="S7" s="77"/>
      <c r="T7" s="8" t="s">
        <v>23</v>
      </c>
      <c r="U7" s="10" t="s">
        <v>42</v>
      </c>
      <c r="W7" s="12">
        <v>4</v>
      </c>
      <c r="X7" s="13" t="s">
        <v>32</v>
      </c>
      <c r="Y7" s="35">
        <v>0</v>
      </c>
      <c r="Z7" s="36">
        <v>500</v>
      </c>
      <c r="AA7" s="36">
        <v>150</v>
      </c>
      <c r="AB7" s="15">
        <v>0</v>
      </c>
    </row>
    <row r="8" spans="2:28" ht="17" thickBot="1" x14ac:dyDescent="0.25">
      <c r="H8" s="51">
        <v>5</v>
      </c>
      <c r="I8" s="52" t="s">
        <v>33</v>
      </c>
      <c r="J8" s="53">
        <v>5100</v>
      </c>
      <c r="K8" s="19" t="s">
        <v>28</v>
      </c>
      <c r="R8" s="75">
        <v>2</v>
      </c>
      <c r="S8" s="75" t="s">
        <v>43</v>
      </c>
      <c r="T8" s="8" t="s">
        <v>20</v>
      </c>
      <c r="U8" s="31">
        <v>0.03</v>
      </c>
      <c r="W8" s="16">
        <v>5</v>
      </c>
      <c r="X8" s="17" t="s">
        <v>33</v>
      </c>
      <c r="Y8" s="18">
        <v>300</v>
      </c>
      <c r="Z8" s="19">
        <v>0</v>
      </c>
      <c r="AA8" s="19">
        <v>0</v>
      </c>
      <c r="AB8" s="37">
        <v>500</v>
      </c>
    </row>
    <row r="9" spans="2:28" ht="17" thickBot="1" x14ac:dyDescent="0.25">
      <c r="E9" s="25"/>
      <c r="F9" s="25"/>
      <c r="H9" s="54"/>
      <c r="I9" s="55" t="str">
        <f>" "</f>
        <v xml:space="preserve"> </v>
      </c>
      <c r="J9" s="5"/>
      <c r="K9" t="str">
        <f>" "</f>
        <v xml:space="preserve"> </v>
      </c>
      <c r="R9" s="76"/>
      <c r="S9" s="76"/>
      <c r="T9" s="8" t="s">
        <v>21</v>
      </c>
      <c r="U9" s="31">
        <v>0.05</v>
      </c>
    </row>
    <row r="10" spans="2:28" ht="17" thickBot="1" x14ac:dyDescent="0.25">
      <c r="R10" s="76"/>
      <c r="S10" s="76"/>
      <c r="T10" s="8" t="s">
        <v>22</v>
      </c>
      <c r="U10" s="31">
        <v>0.03</v>
      </c>
    </row>
    <row r="11" spans="2:28" ht="17" thickBot="1" x14ac:dyDescent="0.25">
      <c r="R11" s="77"/>
      <c r="S11" s="77"/>
      <c r="T11" s="8" t="s">
        <v>23</v>
      </c>
      <c r="U11" s="31">
        <v>0.03</v>
      </c>
    </row>
    <row r="12" spans="2:28" ht="17" thickBot="1" x14ac:dyDescent="0.25">
      <c r="R12" s="75">
        <v>3</v>
      </c>
      <c r="S12" s="75" t="s">
        <v>44</v>
      </c>
      <c r="T12" s="8" t="s">
        <v>20</v>
      </c>
      <c r="U12" s="31">
        <v>0.05</v>
      </c>
    </row>
    <row r="13" spans="2:28" ht="17" thickBot="1" x14ac:dyDescent="0.25">
      <c r="R13" s="76"/>
      <c r="S13" s="76"/>
      <c r="T13" s="8" t="s">
        <v>21</v>
      </c>
      <c r="U13" s="31">
        <v>0.08</v>
      </c>
    </row>
    <row r="14" spans="2:28" ht="17" thickBot="1" x14ac:dyDescent="0.25">
      <c r="R14" s="76"/>
      <c r="S14" s="76"/>
      <c r="T14" s="8" t="s">
        <v>22</v>
      </c>
      <c r="U14" s="31">
        <v>0.05</v>
      </c>
    </row>
    <row r="15" spans="2:28" ht="17" thickBot="1" x14ac:dyDescent="0.25">
      <c r="R15" s="77"/>
      <c r="S15" s="77"/>
      <c r="T15" s="8" t="s">
        <v>23</v>
      </c>
      <c r="U15" s="31">
        <v>0.05</v>
      </c>
    </row>
    <row r="24" spans="9:9" x14ac:dyDescent="0.2">
      <c r="I24" s="25"/>
    </row>
  </sheetData>
  <mergeCells count="10">
    <mergeCell ref="H2:K2"/>
    <mergeCell ref="R12:R15"/>
    <mergeCell ref="S12:S15"/>
    <mergeCell ref="W2:AB2"/>
    <mergeCell ref="M2:P2"/>
    <mergeCell ref="R2:U2"/>
    <mergeCell ref="R4:R7"/>
    <mergeCell ref="S4:S7"/>
    <mergeCell ref="R8:R11"/>
    <mergeCell ref="S8:S11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MAIN PAGE</vt:lpstr>
      <vt:lpstr>REGISTRATION FORM</vt:lpstr>
      <vt:lpstr>DATABASE</vt:lpstr>
      <vt:lpstr>Reference</vt:lpstr>
      <vt:lpstr>Basic_Wages</vt:lpstr>
      <vt:lpstr>Job_Position</vt:lpstr>
      <vt:lpstr>JobPosition_1</vt:lpstr>
      <vt:lpstr>JobPosition_2</vt:lpstr>
      <vt:lpstr>JobPosition_3</vt:lpstr>
      <vt:lpstr>JobPosition_4</vt:lpstr>
      <vt:lpstr>JobPosition_5</vt:lpstr>
      <vt:lpstr>Marital_Status</vt:lpstr>
      <vt:lpstr>MaritalStatus_1</vt:lpstr>
      <vt:lpstr>MaritalStatus_2</vt:lpstr>
      <vt:lpstr>MaritalStatus_3</vt:lpstr>
      <vt:lpstr>MaritalStatus_4</vt:lpstr>
      <vt:lpstr>MTD_Table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2022-05-18T12:21:26Z</dcterms:created>
  <dcterms:modified xsi:type="dcterms:W3CDTF">2022-05-25T16:39:16Z</dcterms:modified>
</cp:coreProperties>
</file>